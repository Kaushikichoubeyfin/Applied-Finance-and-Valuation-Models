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shiki choubey\Desktop\Badri Sir2\FM\Excel Sheets\"/>
    </mc:Choice>
  </mc:AlternateContent>
  <xr:revisionPtr revIDLastSave="0" documentId="13_ncr:1_{C3BF6AF7-D3B5-4A7C-8076-B23E1184C040}" xr6:coauthVersionLast="47" xr6:coauthVersionMax="47" xr10:uidLastSave="{00000000-0000-0000-0000-000000000000}"/>
  <bookViews>
    <workbookView xWindow="-108" yWindow="-108" windowWidth="23256" windowHeight="12456" firstSheet="2" activeTab="5" xr2:uid="{8F5EC418-4F6E-4449-8D14-71746C6A50C3}"/>
  </bookViews>
  <sheets>
    <sheet name="Lease Vs Buy" sheetId="1" r:id="rId1"/>
    <sheet name="Problem 2" sheetId="2" r:id="rId2"/>
    <sheet name="Equiv. loan method- lessee POV" sheetId="3" r:id="rId3"/>
    <sheet name="The Lessor's Problem" sheetId="4" r:id="rId4"/>
    <sheet name="Lease- Salvage value" sheetId="5" r:id="rId5"/>
    <sheet name="Greenville Problem" sheetId="6" r:id="rId6"/>
  </sheets>
  <definedNames>
    <definedName name="solver_adj" localSheetId="3" hidden="1">'The Lessor''s Problem'!$B$5</definedName>
    <definedName name="solver_cvg" localSheetId="3" hidden="1">0.0001</definedName>
    <definedName name="solver_drv" localSheetId="3" hidden="1">2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'The Lessor''s Problem'!$B$21</definedName>
    <definedName name="solver_pre" localSheetId="3" hidden="1">0.000001</definedName>
    <definedName name="solver_rbv" localSheetId="3" hidden="1">2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0.035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6" i="6" l="1"/>
  <c r="Q24" i="6"/>
  <c r="Q23" i="6"/>
  <c r="T14" i="6"/>
  <c r="T15" i="6"/>
  <c r="T16" i="6"/>
  <c r="T17" i="6"/>
  <c r="T18" i="6"/>
  <c r="T13" i="6"/>
  <c r="S15" i="6"/>
  <c r="S16" i="6"/>
  <c r="Q4" i="6"/>
  <c r="S14" i="6" s="1"/>
  <c r="R13" i="6"/>
  <c r="R15" i="6"/>
  <c r="R16" i="6"/>
  <c r="R17" i="6"/>
  <c r="R18" i="6"/>
  <c r="R14" i="6"/>
  <c r="Q13" i="6"/>
  <c r="B4" i="6"/>
  <c r="I15" i="6" s="1"/>
  <c r="K15" i="6" s="1"/>
  <c r="B24" i="6"/>
  <c r="H13" i="6"/>
  <c r="K13" i="6" s="1"/>
  <c r="B14" i="6"/>
  <c r="B15" i="6"/>
  <c r="B16" i="6"/>
  <c r="B17" i="6"/>
  <c r="B18" i="6"/>
  <c r="B13" i="6"/>
  <c r="D14" i="6"/>
  <c r="D13" i="6"/>
  <c r="M13" i="6" s="1"/>
  <c r="C14" i="6"/>
  <c r="C15" i="6"/>
  <c r="C16" i="6"/>
  <c r="C17" i="6"/>
  <c r="C18" i="6"/>
  <c r="C13" i="6"/>
  <c r="K19" i="5"/>
  <c r="J19" i="5"/>
  <c r="B22" i="5"/>
  <c r="I19" i="5"/>
  <c r="M19" i="5" s="1"/>
  <c r="I18" i="5"/>
  <c r="K18" i="5" s="1"/>
  <c r="C18" i="5"/>
  <c r="B18" i="5"/>
  <c r="I17" i="5"/>
  <c r="K17" i="5" s="1"/>
  <c r="C17" i="5"/>
  <c r="B17" i="5"/>
  <c r="I16" i="5"/>
  <c r="K16" i="5" s="1"/>
  <c r="C16" i="5"/>
  <c r="B16" i="5"/>
  <c r="I15" i="5"/>
  <c r="K15" i="5" s="1"/>
  <c r="C15" i="5"/>
  <c r="B15" i="5"/>
  <c r="D15" i="5" s="1"/>
  <c r="M15" i="5" s="1"/>
  <c r="I14" i="5"/>
  <c r="K14" i="5" s="1"/>
  <c r="C14" i="5"/>
  <c r="D14" i="5" s="1"/>
  <c r="M14" i="5" s="1"/>
  <c r="B14" i="5"/>
  <c r="H13" i="5"/>
  <c r="K13" i="5" s="1"/>
  <c r="C13" i="5"/>
  <c r="D13" i="5" s="1"/>
  <c r="B13" i="5"/>
  <c r="B22" i="4"/>
  <c r="I19" i="4"/>
  <c r="J19" i="4" s="1"/>
  <c r="L19" i="4" s="1"/>
  <c r="I18" i="4"/>
  <c r="J18" i="4" s="1"/>
  <c r="C18" i="4"/>
  <c r="B18" i="4"/>
  <c r="I17" i="4"/>
  <c r="J17" i="4" s="1"/>
  <c r="C17" i="4"/>
  <c r="B17" i="4"/>
  <c r="I16" i="4"/>
  <c r="J16" i="4" s="1"/>
  <c r="C16" i="4"/>
  <c r="B16" i="4"/>
  <c r="I15" i="4"/>
  <c r="J15" i="4" s="1"/>
  <c r="C15" i="4"/>
  <c r="B15" i="4"/>
  <c r="I14" i="4"/>
  <c r="J14" i="4" s="1"/>
  <c r="C14" i="4"/>
  <c r="B14" i="4"/>
  <c r="H13" i="4"/>
  <c r="J13" i="4" s="1"/>
  <c r="C13" i="4"/>
  <c r="B13" i="4"/>
  <c r="R16" i="1"/>
  <c r="S16" i="1"/>
  <c r="T16" i="1"/>
  <c r="U16" i="1"/>
  <c r="V16" i="1"/>
  <c r="Q16" i="1"/>
  <c r="R15" i="1"/>
  <c r="S15" i="1"/>
  <c r="T15" i="1"/>
  <c r="U15" i="1"/>
  <c r="V15" i="1"/>
  <c r="Q15" i="1"/>
  <c r="R14" i="1"/>
  <c r="S14" i="1"/>
  <c r="T14" i="1"/>
  <c r="U14" i="1"/>
  <c r="V14" i="1"/>
  <c r="Q14" i="1"/>
  <c r="H16" i="1"/>
  <c r="G16" i="1"/>
  <c r="D16" i="1"/>
  <c r="E16" i="1"/>
  <c r="F16" i="1"/>
  <c r="C16" i="1"/>
  <c r="D15" i="1"/>
  <c r="E15" i="1"/>
  <c r="F15" i="1"/>
  <c r="G15" i="1"/>
  <c r="H15" i="1"/>
  <c r="C15" i="1"/>
  <c r="C34" i="1"/>
  <c r="D33" i="1"/>
  <c r="E33" i="1"/>
  <c r="F33" i="1"/>
  <c r="G33" i="1"/>
  <c r="C33" i="1"/>
  <c r="D14" i="1"/>
  <c r="E14" i="1"/>
  <c r="F14" i="1"/>
  <c r="G14" i="1"/>
  <c r="H14" i="1"/>
  <c r="C14" i="1"/>
  <c r="B22" i="3"/>
  <c r="C12" i="3"/>
  <c r="C13" i="3"/>
  <c r="C14" i="3"/>
  <c r="C15" i="3"/>
  <c r="C16" i="3"/>
  <c r="C11" i="3"/>
  <c r="J13" i="3"/>
  <c r="J14" i="3"/>
  <c r="J15" i="3"/>
  <c r="J16" i="3"/>
  <c r="I13" i="3"/>
  <c r="I14" i="3"/>
  <c r="I15" i="3"/>
  <c r="I16" i="3"/>
  <c r="I17" i="3"/>
  <c r="J17" i="3" s="1"/>
  <c r="L17" i="3" s="1"/>
  <c r="I12" i="3"/>
  <c r="J12" i="3" s="1"/>
  <c r="H11" i="3"/>
  <c r="J11" i="3" s="1"/>
  <c r="B12" i="3"/>
  <c r="B13" i="3"/>
  <c r="B14" i="3"/>
  <c r="B15" i="3"/>
  <c r="B16" i="3"/>
  <c r="B11" i="3"/>
  <c r="D11" i="3" s="1"/>
  <c r="D18" i="2"/>
  <c r="G18" i="2"/>
  <c r="G19" i="2"/>
  <c r="G20" i="2"/>
  <c r="G21" i="2"/>
  <c r="G22" i="2"/>
  <c r="G23" i="2"/>
  <c r="G24" i="2"/>
  <c r="G25" i="2"/>
  <c r="G26" i="2"/>
  <c r="G17" i="2"/>
  <c r="F18" i="2"/>
  <c r="F19" i="2"/>
  <c r="F20" i="2"/>
  <c r="F21" i="2"/>
  <c r="F22" i="2"/>
  <c r="F23" i="2"/>
  <c r="F24" i="2"/>
  <c r="F25" i="2"/>
  <c r="F26" i="2"/>
  <c r="F17" i="2"/>
  <c r="E17" i="2"/>
  <c r="E18" i="2"/>
  <c r="E19" i="2"/>
  <c r="E20" i="2"/>
  <c r="E21" i="2"/>
  <c r="D17" i="2"/>
  <c r="D19" i="2"/>
  <c r="D20" i="2"/>
  <c r="D21" i="2"/>
  <c r="D22" i="2"/>
  <c r="D23" i="2"/>
  <c r="D24" i="2"/>
  <c r="D25" i="2"/>
  <c r="D26" i="2"/>
  <c r="D16" i="2"/>
  <c r="C16" i="2"/>
  <c r="C6" i="2"/>
  <c r="C4" i="2"/>
  <c r="I14" i="6" l="1"/>
  <c r="K14" i="6" s="1"/>
  <c r="M14" i="6" s="1"/>
  <c r="D18" i="6"/>
  <c r="D17" i="6"/>
  <c r="I18" i="6"/>
  <c r="K18" i="6" s="1"/>
  <c r="D16" i="6"/>
  <c r="I17" i="6"/>
  <c r="K17" i="6" s="1"/>
  <c r="D15" i="6"/>
  <c r="M15" i="6" s="1"/>
  <c r="I16" i="6"/>
  <c r="K16" i="6" s="1"/>
  <c r="D13" i="3"/>
  <c r="L13" i="3" s="1"/>
  <c r="L11" i="3"/>
  <c r="D12" i="3"/>
  <c r="L12" i="3" s="1"/>
  <c r="B21" i="3"/>
  <c r="B24" i="3" s="1"/>
  <c r="D14" i="3"/>
  <c r="L14" i="3" s="1"/>
  <c r="D16" i="3"/>
  <c r="L16" i="3" s="1"/>
  <c r="D15" i="3"/>
  <c r="L15" i="3" s="1"/>
  <c r="D17" i="5"/>
  <c r="M17" i="5" s="1"/>
  <c r="D18" i="5"/>
  <c r="M18" i="5" s="1"/>
  <c r="M13" i="5"/>
  <c r="D16" i="5"/>
  <c r="B21" i="5"/>
  <c r="B24" i="5" s="1"/>
  <c r="M16" i="5"/>
  <c r="D13" i="4"/>
  <c r="L13" i="4" s="1"/>
  <c r="D18" i="4"/>
  <c r="L18" i="4" s="1"/>
  <c r="D15" i="4"/>
  <c r="L15" i="4" s="1"/>
  <c r="D16" i="4"/>
  <c r="L16" i="4" s="1"/>
  <c r="D14" i="4"/>
  <c r="L14" i="4" s="1"/>
  <c r="D17" i="4"/>
  <c r="L17" i="4" s="1"/>
  <c r="C12" i="2"/>
  <c r="C7" i="2"/>
  <c r="M16" i="6" l="1"/>
  <c r="M17" i="6"/>
  <c r="M18" i="6"/>
  <c r="B21" i="4"/>
  <c r="B24" i="4" s="1"/>
  <c r="C9" i="2"/>
  <c r="Q22" i="1"/>
  <c r="Q28" i="1"/>
  <c r="W21" i="1"/>
  <c r="S20" i="1"/>
  <c r="S22" i="1" s="1"/>
  <c r="T20" i="1"/>
  <c r="T22" i="1" s="1"/>
  <c r="U20" i="1"/>
  <c r="U22" i="1" s="1"/>
  <c r="V20" i="1"/>
  <c r="V22" i="1" s="1"/>
  <c r="W20" i="1"/>
  <c r="W22" i="1" s="1"/>
  <c r="W25" i="1" s="1"/>
  <c r="R20" i="1"/>
  <c r="R22" i="1" s="1"/>
  <c r="Q5" i="1"/>
  <c r="Q19" i="1"/>
  <c r="B23" i="6" l="1"/>
  <c r="B26" i="6" s="1"/>
  <c r="R25" i="1"/>
  <c r="S25" i="1"/>
  <c r="T25" i="1"/>
  <c r="U25" i="1"/>
  <c r="V25" i="1"/>
  <c r="Q25" i="1"/>
  <c r="Q27" i="1" s="1"/>
  <c r="Q29" i="1" s="1"/>
  <c r="C28" i="1"/>
  <c r="C5" i="1"/>
  <c r="H20" i="1" s="1"/>
  <c r="H22" i="1" s="1"/>
  <c r="H25" i="1" s="1"/>
  <c r="C19" i="1"/>
  <c r="C25" i="1"/>
  <c r="C22" i="1"/>
  <c r="I20" i="1" l="1"/>
  <c r="I22" i="1" s="1"/>
  <c r="I25" i="1" s="1"/>
  <c r="D20" i="1"/>
  <c r="D22" i="1" s="1"/>
  <c r="D25" i="1" s="1"/>
  <c r="E20" i="1"/>
  <c r="E22" i="1" s="1"/>
  <c r="E25" i="1" s="1"/>
  <c r="F20" i="1"/>
  <c r="F22" i="1" s="1"/>
  <c r="F25" i="1" s="1"/>
  <c r="G20" i="1"/>
  <c r="G22" i="1" s="1"/>
  <c r="G25" i="1" s="1"/>
  <c r="C27" i="1"/>
  <c r="C29" i="1" s="1"/>
</calcChain>
</file>

<file path=xl/sharedStrings.xml><?xml version="1.0" encoding="utf-8"?>
<sst xmlns="http://schemas.openxmlformats.org/spreadsheetml/2006/main" count="156" uniqueCount="75">
  <si>
    <t>asset cost</t>
  </si>
  <si>
    <t>Cost of the asset</t>
  </si>
  <si>
    <t>Salvage Value</t>
  </si>
  <si>
    <t>Year</t>
  </si>
  <si>
    <t>Annual depriciation</t>
  </si>
  <si>
    <t>Lease rental payment</t>
  </si>
  <si>
    <t>Interest rate</t>
  </si>
  <si>
    <t>Tax rate</t>
  </si>
  <si>
    <t>Time period</t>
  </si>
  <si>
    <t>depriciation tax shield</t>
  </si>
  <si>
    <t>salvage value (tax adjusted)</t>
  </si>
  <si>
    <t>net cash flow</t>
  </si>
  <si>
    <t>leasor cash flows</t>
  </si>
  <si>
    <t>IRR of differential csah flow</t>
  </si>
  <si>
    <t>after tax interest rate</t>
  </si>
  <si>
    <t>decision?</t>
  </si>
  <si>
    <t>lease - buy (difference)</t>
  </si>
  <si>
    <t>cost of asset</t>
  </si>
  <si>
    <t>lease term</t>
  </si>
  <si>
    <t>equity</t>
  </si>
  <si>
    <t>debt</t>
  </si>
  <si>
    <t>interest</t>
  </si>
  <si>
    <t>annual debt payment</t>
  </si>
  <si>
    <t>tax rate</t>
  </si>
  <si>
    <t>Lease Payment</t>
  </si>
  <si>
    <t>Depriciation</t>
  </si>
  <si>
    <t>Total cost</t>
  </si>
  <si>
    <t>No. of units</t>
  </si>
  <si>
    <t>Tax Shield</t>
  </si>
  <si>
    <t>Net cash  Flow</t>
  </si>
  <si>
    <t>Initial Investment (Equity)</t>
  </si>
  <si>
    <t xml:space="preserve">Interest </t>
  </si>
  <si>
    <t>Lease payment</t>
  </si>
  <si>
    <t>Total Asset Cost</t>
  </si>
  <si>
    <t>Depreciation</t>
  </si>
  <si>
    <t>Tax Rate</t>
  </si>
  <si>
    <t>Risk free rate</t>
  </si>
  <si>
    <t>Years</t>
  </si>
  <si>
    <t>Leasing</t>
  </si>
  <si>
    <t>Buying by Borrowing</t>
  </si>
  <si>
    <t>Leasing Amount/ period</t>
  </si>
  <si>
    <t>payment</t>
  </si>
  <si>
    <t>tax benefits</t>
  </si>
  <si>
    <t>net cashflow</t>
  </si>
  <si>
    <t>tax benefits due to depreciation</t>
  </si>
  <si>
    <t>Differencial cash flow (lease - buy)</t>
  </si>
  <si>
    <t>IRR of defferencial cash flow</t>
  </si>
  <si>
    <t>After tax interest rate</t>
  </si>
  <si>
    <t>Decision</t>
  </si>
  <si>
    <t>Payment by lesse</t>
  </si>
  <si>
    <t>tax benefit</t>
  </si>
  <si>
    <t>total cash flow</t>
  </si>
  <si>
    <t>Salvage Value (after tax)</t>
  </si>
  <si>
    <t>Certainty Equivalent</t>
  </si>
  <si>
    <t>Residual value (salvage value)</t>
  </si>
  <si>
    <t>Asset cost</t>
  </si>
  <si>
    <t>Depretiation</t>
  </si>
  <si>
    <t>Salvage value</t>
  </si>
  <si>
    <t>Cost of debt</t>
  </si>
  <si>
    <t>Payment for lease/ period</t>
  </si>
  <si>
    <t>Payment</t>
  </si>
  <si>
    <t>Net cash flow</t>
  </si>
  <si>
    <t>Buying</t>
  </si>
  <si>
    <t>Salvage</t>
  </si>
  <si>
    <t>Difference</t>
  </si>
  <si>
    <t>IRR</t>
  </si>
  <si>
    <t>Cost of debt after tax</t>
  </si>
  <si>
    <t>IRR Method</t>
  </si>
  <si>
    <t>Lessee' POV</t>
  </si>
  <si>
    <t>Lessors' POV</t>
  </si>
  <si>
    <t>equipment cost</t>
  </si>
  <si>
    <t>lease inflow</t>
  </si>
  <si>
    <t>Tax benefit from depreciation</t>
  </si>
  <si>
    <t>Depretiation, straightline for 3 years</t>
  </si>
  <si>
    <t>Net 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</si>
</sst>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0" x14ac:knownFonts="1">
    <font>
      <sz val="10"/>
      <color theme="1"/>
      <name val="Times New Roman"/>
      <family val="2"/>
    </font>
    <font>
      <b/>
      <sz val="11"/>
      <color theme="3"/>
      <name val="Times New Roman"/>
      <family val="2"/>
    </font>
    <font>
      <b/>
      <sz val="10"/>
      <color rgb="FF3F3F3F"/>
      <name val="Times New Roman"/>
      <family val="2"/>
    </font>
    <font>
      <b/>
      <sz val="10"/>
      <color rgb="FFFA7D00"/>
      <name val="Times New Roman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rgb="FF96000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9" tint="-0.49998474074526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2" applyNumberFormat="0" applyAlignment="0" applyProtection="0"/>
    <xf numFmtId="0" fontId="3" fillId="2" borderId="1" applyNumberFormat="0" applyAlignment="0" applyProtection="0"/>
  </cellStyleXfs>
  <cellXfs count="57">
    <xf numFmtId="0" fontId="0" fillId="0" borderId="0" xfId="0"/>
    <xf numFmtId="0" fontId="5" fillId="3" borderId="2" xfId="2" applyFont="1" applyFill="1" applyAlignment="1">
      <alignment horizontal="left"/>
    </xf>
    <xf numFmtId="0" fontId="5" fillId="3" borderId="4" xfId="2" applyFont="1" applyFill="1" applyBorder="1" applyAlignment="1">
      <alignment horizontal="left"/>
    </xf>
    <xf numFmtId="0" fontId="5" fillId="3" borderId="5" xfId="2" applyFont="1" applyFill="1" applyBorder="1" applyAlignment="1">
      <alignment horizontal="left"/>
    </xf>
    <xf numFmtId="0" fontId="5" fillId="3" borderId="3" xfId="2" applyFont="1" applyFill="1" applyBorder="1" applyAlignment="1">
      <alignment horizontal="left"/>
    </xf>
    <xf numFmtId="9" fontId="5" fillId="0" borderId="5" xfId="2" applyNumberFormat="1" applyFont="1" applyFill="1" applyBorder="1" applyAlignment="1">
      <alignment horizontal="right"/>
    </xf>
    <xf numFmtId="0" fontId="5" fillId="0" borderId="6" xfId="2" applyFont="1" applyFill="1" applyBorder="1" applyAlignment="1">
      <alignment horizontal="right"/>
    </xf>
    <xf numFmtId="9" fontId="5" fillId="0" borderId="2" xfId="2" applyNumberFormat="1" applyFont="1" applyFill="1" applyAlignment="1">
      <alignment horizontal="right"/>
    </xf>
    <xf numFmtId="0" fontId="4" fillId="0" borderId="3" xfId="0" applyFont="1" applyBorder="1" applyAlignment="1">
      <alignment horizontal="right"/>
    </xf>
    <xf numFmtId="0" fontId="5" fillId="0" borderId="5" xfId="2" applyNumberFormat="1" applyFont="1" applyFill="1" applyBorder="1" applyAlignment="1">
      <alignment horizontal="right"/>
    </xf>
    <xf numFmtId="1" fontId="5" fillId="0" borderId="2" xfId="2" applyNumberFormat="1" applyFont="1" applyFill="1" applyAlignment="1">
      <alignment horizontal="right"/>
    </xf>
    <xf numFmtId="1" fontId="5" fillId="0" borderId="3" xfId="0" applyNumberFormat="1" applyFont="1" applyBorder="1" applyAlignment="1">
      <alignment horizontal="right"/>
    </xf>
    <xf numFmtId="3" fontId="5" fillId="0" borderId="2" xfId="2" applyNumberFormat="1" applyFont="1" applyFill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0" fillId="0" borderId="0" xfId="0" applyNumberFormat="1"/>
    <xf numFmtId="2" fontId="5" fillId="0" borderId="6" xfId="2" applyNumberFormat="1" applyFont="1" applyFill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9" fontId="0" fillId="0" borderId="0" xfId="0" applyNumberFormat="1"/>
    <xf numFmtId="0" fontId="6" fillId="0" borderId="0" xfId="0" applyFont="1"/>
    <xf numFmtId="0" fontId="7" fillId="0" borderId="0" xfId="0" applyFont="1"/>
    <xf numFmtId="0" fontId="5" fillId="0" borderId="0" xfId="0" applyFont="1"/>
    <xf numFmtId="3" fontId="7" fillId="4" borderId="0" xfId="0" applyNumberFormat="1" applyFont="1" applyFill="1"/>
    <xf numFmtId="0" fontId="7" fillId="4" borderId="0" xfId="0" applyFont="1" applyFill="1"/>
    <xf numFmtId="1" fontId="7" fillId="4" borderId="0" xfId="0" applyNumberFormat="1" applyFont="1" applyFill="1"/>
    <xf numFmtId="9" fontId="7" fillId="4" borderId="0" xfId="0" applyNumberFormat="1" applyFont="1" applyFill="1"/>
    <xf numFmtId="10" fontId="7" fillId="4" borderId="0" xfId="0" applyNumberFormat="1" applyFont="1" applyFill="1"/>
    <xf numFmtId="0" fontId="4" fillId="0" borderId="0" xfId="0" applyFont="1"/>
    <xf numFmtId="0" fontId="8" fillId="0" borderId="0" xfId="0" applyFont="1"/>
    <xf numFmtId="1" fontId="8" fillId="2" borderId="0" xfId="3" applyNumberFormat="1" applyFont="1" applyBorder="1"/>
    <xf numFmtId="0" fontId="8" fillId="0" borderId="0" xfId="3" applyFont="1" applyFill="1" applyBorder="1"/>
    <xf numFmtId="1" fontId="8" fillId="4" borderId="0" xfId="3" applyNumberFormat="1" applyFont="1" applyFill="1" applyBorder="1"/>
    <xf numFmtId="1" fontId="8" fillId="0" borderId="0" xfId="3" applyNumberFormat="1" applyFont="1" applyFill="1" applyBorder="1"/>
    <xf numFmtId="0" fontId="8" fillId="2" borderId="0" xfId="3" applyFont="1" applyBorder="1"/>
    <xf numFmtId="0" fontId="4" fillId="4" borderId="0" xfId="0" applyFont="1" applyFill="1"/>
    <xf numFmtId="10" fontId="8" fillId="2" borderId="0" xfId="2" applyNumberFormat="1" applyFont="1" applyBorder="1"/>
    <xf numFmtId="10" fontId="8" fillId="4" borderId="0" xfId="0" applyNumberFormat="1" applyFont="1" applyFill="1"/>
    <xf numFmtId="0" fontId="8" fillId="0" borderId="0" xfId="1" applyFont="1"/>
    <xf numFmtId="0" fontId="8" fillId="0" borderId="0" xfId="1" applyFont="1" applyBorder="1"/>
    <xf numFmtId="0" fontId="8" fillId="0" borderId="0" xfId="1" applyFont="1" applyFill="1" applyBorder="1"/>
    <xf numFmtId="0" fontId="9" fillId="0" borderId="0" xfId="0" applyFont="1" applyAlignment="1">
      <alignment horizontal="center" vertical="center"/>
    </xf>
    <xf numFmtId="0" fontId="5" fillId="3" borderId="3" xfId="1" applyFont="1" applyFill="1" applyBorder="1"/>
    <xf numFmtId="1" fontId="5" fillId="0" borderId="3" xfId="1" applyNumberFormat="1" applyFont="1" applyBorder="1"/>
    <xf numFmtId="0" fontId="5" fillId="0" borderId="3" xfId="1" applyFont="1" applyBorder="1"/>
    <xf numFmtId="9" fontId="5" fillId="0" borderId="3" xfId="1" applyNumberFormat="1" applyFont="1" applyBorder="1"/>
    <xf numFmtId="3" fontId="0" fillId="0" borderId="3" xfId="0" applyNumberFormat="1" applyBorder="1"/>
    <xf numFmtId="0" fontId="0" fillId="3" borderId="3" xfId="0" applyFill="1" applyBorder="1"/>
    <xf numFmtId="0" fontId="5" fillId="0" borderId="3" xfId="1" applyNumberFormat="1" applyFont="1" applyBorder="1"/>
    <xf numFmtId="2" fontId="5" fillId="0" borderId="3" xfId="1" applyNumberFormat="1" applyFont="1" applyBorder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7" fillId="3" borderId="3" xfId="0" applyFont="1" applyFill="1" applyBorder="1" applyAlignment="1">
      <alignment horizontal="center"/>
    </xf>
    <xf numFmtId="1" fontId="4" fillId="0" borderId="0" xfId="0" applyNumberFormat="1" applyFont="1"/>
    <xf numFmtId="0" fontId="8" fillId="4" borderId="0" xfId="0" applyFont="1" applyFill="1"/>
    <xf numFmtId="3" fontId="8" fillId="4" borderId="0" xfId="0" applyNumberFormat="1" applyFont="1" applyFill="1"/>
    <xf numFmtId="164" fontId="7" fillId="3" borderId="3" xfId="0" applyNumberFormat="1" applyFont="1" applyFill="1" applyBorder="1"/>
    <xf numFmtId="0" fontId="7" fillId="3" borderId="0" xfId="0" applyFont="1" applyFill="1"/>
  </cellXfs>
  <cellStyles count="4">
    <cellStyle name="Calculation" xfId="3" builtinId="22"/>
    <cellStyle name="Heading 4" xfId="1" builtinId="19"/>
    <cellStyle name="Normal" xfId="0" builtinId="0"/>
    <cellStyle name="Output" xfId="2" builtinId="2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960000"/>
      <color rgb="FF4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114300</xdr:rowOff>
    </xdr:from>
    <xdr:to>
      <xdr:col>8</xdr:col>
      <xdr:colOff>1363980</xdr:colOff>
      <xdr:row>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81D9FB-43B2-9629-90DC-3F3D2EBB5157}"/>
            </a:ext>
          </a:extLst>
        </xdr:cNvPr>
        <xdr:cNvSpPr txBox="1"/>
      </xdr:nvSpPr>
      <xdr:spPr>
        <a:xfrm>
          <a:off x="5935980" y="114300"/>
          <a:ext cx="5303520" cy="10591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/>
            <a:t> </a:t>
          </a:r>
          <a:r>
            <a:rPr lang="en-IN" sz="1000" b="1">
              <a:latin typeface="Times New Roman" panose="02020603050405020304" pitchFamily="18" charset="0"/>
              <a:cs typeface="Times New Roman" panose="02020603050405020304" pitchFamily="18" charset="0"/>
            </a:rPr>
            <a:t>The lessee </a:t>
          </a:r>
          <a:r>
            <a:rPr lang="en-IN" sz="1000">
              <a:latin typeface="Times New Roman" panose="02020603050405020304" pitchFamily="18" charset="0"/>
              <a:cs typeface="Times New Roman" panose="02020603050405020304" pitchFamily="18" charset="0"/>
            </a:rPr>
            <a:t>must decide whether—given a rental rate on the leased asset—it is preferable to buy the asset or lease it. </a:t>
          </a:r>
        </a:p>
        <a:p>
          <a:endParaRPr lang="en-IN" sz="1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000" b="1">
              <a:latin typeface="Times New Roman" panose="02020603050405020304" pitchFamily="18" charset="0"/>
              <a:cs typeface="Times New Roman" panose="02020603050405020304" pitchFamily="18" charset="0"/>
            </a:rPr>
            <a:t> The lessor </a:t>
          </a:r>
          <a:r>
            <a:rPr lang="en-IN" sz="1000">
              <a:latin typeface="Times New Roman" panose="02020603050405020304" pitchFamily="18" charset="0"/>
              <a:cs typeface="Times New Roman" panose="02020603050405020304" pitchFamily="18" charset="0"/>
            </a:rPr>
            <a:t>has to decide what </a:t>
          </a:r>
          <a:r>
            <a:rPr lang="en-IN" sz="1000" b="1">
              <a:latin typeface="Times New Roman" panose="02020603050405020304" pitchFamily="18" charset="0"/>
              <a:cs typeface="Times New Roman" panose="02020603050405020304" pitchFamily="18" charset="0"/>
            </a:rPr>
            <a:t>minimum rental rate </a:t>
          </a:r>
          <a:r>
            <a:rPr lang="en-IN" sz="1000">
              <a:latin typeface="Times New Roman" panose="02020603050405020304" pitchFamily="18" charset="0"/>
              <a:cs typeface="Times New Roman" panose="02020603050405020304" pitchFamily="18" charset="0"/>
            </a:rPr>
            <a:t>justifies the purchase of the asset in order to lease it out. I.e. for what minimum</a:t>
          </a:r>
          <a:r>
            <a:rPr lang="en-IN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rental rate </a:t>
          </a:r>
        </a:p>
        <a:p>
          <a:r>
            <a:rPr lang="en-IN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r>
            <a:rPr lang="en-IN" sz="1000" b="1" baseline="0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IRR&lt;  after tax rate</a:t>
          </a:r>
          <a:endParaRPr lang="en-IN" sz="1000" b="1">
            <a:solidFill>
              <a:schemeClr val="accent6">
                <a:lumMod val="50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C6AE-A3E8-4966-BF4A-B0286F81F15D}">
  <dimension ref="B2:X34"/>
  <sheetViews>
    <sheetView topLeftCell="C19" zoomScale="107" workbookViewId="0">
      <selection activeCell="Q35" sqref="Q35"/>
    </sheetView>
  </sheetViews>
  <sheetFormatPr defaultRowHeight="13.2" x14ac:dyDescent="0.25"/>
  <cols>
    <col min="1" max="1" width="8.88671875" style="26"/>
    <col min="2" max="2" width="43" style="26" bestFit="1" customWidth="1"/>
    <col min="3" max="3" width="12.21875" style="26" bestFit="1" customWidth="1"/>
    <col min="4" max="8" width="10.88671875" style="26" bestFit="1" customWidth="1"/>
    <col min="9" max="9" width="9.44140625" style="26" bestFit="1" customWidth="1"/>
    <col min="10" max="15" width="8.88671875" style="26"/>
    <col min="16" max="16" width="43" style="26" bestFit="1" customWidth="1"/>
    <col min="17" max="17" width="13.88671875" style="26" bestFit="1" customWidth="1"/>
    <col min="18" max="23" width="10.88671875" style="26" bestFit="1" customWidth="1"/>
    <col min="24" max="16384" width="8.88671875" style="26"/>
  </cols>
  <sheetData>
    <row r="2" spans="2:23" x14ac:dyDescent="0.25">
      <c r="B2" s="1" t="s">
        <v>1</v>
      </c>
      <c r="C2" s="10">
        <v>2500000</v>
      </c>
      <c r="P2" s="1" t="s">
        <v>1</v>
      </c>
      <c r="Q2" s="12">
        <v>2500000</v>
      </c>
    </row>
    <row r="3" spans="2:23" x14ac:dyDescent="0.25">
      <c r="B3" s="1" t="s">
        <v>6</v>
      </c>
      <c r="C3" s="5">
        <v>0.1</v>
      </c>
      <c r="P3" s="1" t="s">
        <v>6</v>
      </c>
      <c r="Q3" s="5">
        <v>0.1</v>
      </c>
    </row>
    <row r="4" spans="2:23" x14ac:dyDescent="0.25">
      <c r="B4" s="2" t="s">
        <v>5</v>
      </c>
      <c r="C4" s="11">
        <v>450000</v>
      </c>
      <c r="P4" s="2" t="s">
        <v>5</v>
      </c>
      <c r="Q4" s="13">
        <v>450000</v>
      </c>
    </row>
    <row r="5" spans="2:23" x14ac:dyDescent="0.25">
      <c r="B5" s="1" t="s">
        <v>4</v>
      </c>
      <c r="C5" s="15">
        <f>C2/C7</f>
        <v>416666.66666666669</v>
      </c>
      <c r="P5" s="1" t="s">
        <v>4</v>
      </c>
      <c r="Q5" s="6">
        <f>Q2/Q7</f>
        <v>416666.66666666669</v>
      </c>
    </row>
    <row r="6" spans="2:23" x14ac:dyDescent="0.25">
      <c r="B6" s="1" t="s">
        <v>7</v>
      </c>
      <c r="C6" s="7">
        <v>0.21</v>
      </c>
      <c r="P6" s="1" t="s">
        <v>7</v>
      </c>
      <c r="Q6" s="7">
        <v>0.21</v>
      </c>
    </row>
    <row r="7" spans="2:23" x14ac:dyDescent="0.25">
      <c r="B7" s="3" t="s">
        <v>8</v>
      </c>
      <c r="C7" s="9">
        <v>6</v>
      </c>
      <c r="P7" s="3" t="s">
        <v>8</v>
      </c>
      <c r="Q7" s="9">
        <v>6</v>
      </c>
    </row>
    <row r="8" spans="2:23" x14ac:dyDescent="0.25">
      <c r="B8" s="4" t="s">
        <v>2</v>
      </c>
      <c r="C8" s="8">
        <v>0</v>
      </c>
      <c r="P8" s="4" t="s">
        <v>2</v>
      </c>
      <c r="Q8" s="16">
        <v>40000</v>
      </c>
    </row>
    <row r="12" spans="2:23" x14ac:dyDescent="0.25">
      <c r="B12" s="36" t="s">
        <v>3</v>
      </c>
      <c r="C12" s="36">
        <v>0</v>
      </c>
      <c r="D12" s="36">
        <v>1</v>
      </c>
      <c r="E12" s="36">
        <v>2</v>
      </c>
      <c r="F12" s="36">
        <v>3</v>
      </c>
      <c r="G12" s="36">
        <v>4</v>
      </c>
      <c r="H12" s="36">
        <v>5</v>
      </c>
      <c r="I12" s="36">
        <v>6</v>
      </c>
      <c r="P12" s="36" t="s">
        <v>3</v>
      </c>
      <c r="Q12" s="36">
        <v>0</v>
      </c>
      <c r="R12" s="36">
        <v>1</v>
      </c>
      <c r="S12" s="36">
        <v>2</v>
      </c>
      <c r="T12" s="36">
        <v>3</v>
      </c>
      <c r="U12" s="36">
        <v>4</v>
      </c>
      <c r="V12" s="36">
        <v>5</v>
      </c>
      <c r="W12" s="36">
        <v>6</v>
      </c>
    </row>
    <row r="14" spans="2:23" x14ac:dyDescent="0.25">
      <c r="B14" s="37" t="s">
        <v>49</v>
      </c>
      <c r="C14" s="23">
        <f>-$C$4</f>
        <v>-450000</v>
      </c>
      <c r="D14" s="23">
        <f t="shared" ref="D14:H14" si="0">-$C$4</f>
        <v>-450000</v>
      </c>
      <c r="E14" s="23">
        <f t="shared" si="0"/>
        <v>-450000</v>
      </c>
      <c r="F14" s="23">
        <f t="shared" si="0"/>
        <v>-450000</v>
      </c>
      <c r="G14" s="23">
        <f t="shared" si="0"/>
        <v>-450000</v>
      </c>
      <c r="H14" s="23">
        <f t="shared" si="0"/>
        <v>-450000</v>
      </c>
      <c r="I14" s="27"/>
      <c r="P14" s="37" t="s">
        <v>49</v>
      </c>
      <c r="Q14" s="54">
        <f>-$Q$4</f>
        <v>-450000</v>
      </c>
      <c r="R14" s="54">
        <f t="shared" ref="R14:V14" si="1">-$Q$4</f>
        <v>-450000</v>
      </c>
      <c r="S14" s="54">
        <f t="shared" si="1"/>
        <v>-450000</v>
      </c>
      <c r="T14" s="54">
        <f t="shared" si="1"/>
        <v>-450000</v>
      </c>
      <c r="U14" s="54">
        <f t="shared" si="1"/>
        <v>-450000</v>
      </c>
      <c r="V14" s="54">
        <f t="shared" si="1"/>
        <v>-450000</v>
      </c>
    </row>
    <row r="15" spans="2:23" x14ac:dyDescent="0.25">
      <c r="B15" s="37" t="s">
        <v>50</v>
      </c>
      <c r="C15" s="53">
        <f>$C$4*$C$6</f>
        <v>94500</v>
      </c>
      <c r="D15" s="53">
        <f t="shared" ref="D15:H15" si="2">$C$4*$C$6</f>
        <v>94500</v>
      </c>
      <c r="E15" s="53">
        <f t="shared" si="2"/>
        <v>94500</v>
      </c>
      <c r="F15" s="53">
        <f t="shared" si="2"/>
        <v>94500</v>
      </c>
      <c r="G15" s="53">
        <f t="shared" si="2"/>
        <v>94500</v>
      </c>
      <c r="H15" s="53">
        <f t="shared" si="2"/>
        <v>94500</v>
      </c>
      <c r="I15" s="27"/>
      <c r="P15" s="37" t="s">
        <v>50</v>
      </c>
      <c r="Q15" s="53">
        <f>$Q$4*$Q$6</f>
        <v>94500</v>
      </c>
      <c r="R15" s="53">
        <f t="shared" ref="R15:V15" si="3">$Q$4*$Q$6</f>
        <v>94500</v>
      </c>
      <c r="S15" s="53">
        <f t="shared" si="3"/>
        <v>94500</v>
      </c>
      <c r="T15" s="53">
        <f t="shared" si="3"/>
        <v>94500</v>
      </c>
      <c r="U15" s="53">
        <f t="shared" si="3"/>
        <v>94500</v>
      </c>
      <c r="V15" s="53">
        <f t="shared" si="3"/>
        <v>94500</v>
      </c>
    </row>
    <row r="16" spans="2:23" x14ac:dyDescent="0.25">
      <c r="B16" s="37" t="s">
        <v>51</v>
      </c>
      <c r="C16" s="28">
        <f>C14+C15</f>
        <v>-355500</v>
      </c>
      <c r="D16" s="28">
        <f t="shared" ref="D16:F16" si="4">D14+D15</f>
        <v>-355500</v>
      </c>
      <c r="E16" s="28">
        <f t="shared" si="4"/>
        <v>-355500</v>
      </c>
      <c r="F16" s="28">
        <f t="shared" si="4"/>
        <v>-355500</v>
      </c>
      <c r="G16" s="28">
        <f>G14+G15</f>
        <v>-355500</v>
      </c>
      <c r="H16" s="28">
        <f>H14+H15</f>
        <v>-355500</v>
      </c>
      <c r="I16" s="29"/>
      <c r="P16" s="37" t="s">
        <v>51</v>
      </c>
      <c r="Q16" s="30">
        <f>Q14+Q15</f>
        <v>-355500</v>
      </c>
      <c r="R16" s="30">
        <f t="shared" ref="R16:V16" si="5">R14+R15</f>
        <v>-355500</v>
      </c>
      <c r="S16" s="30">
        <f t="shared" si="5"/>
        <v>-355500</v>
      </c>
      <c r="T16" s="30">
        <f t="shared" si="5"/>
        <v>-355500</v>
      </c>
      <c r="U16" s="30">
        <f t="shared" si="5"/>
        <v>-355500</v>
      </c>
      <c r="V16" s="30">
        <f t="shared" si="5"/>
        <v>-355500</v>
      </c>
      <c r="W16" s="31"/>
    </row>
    <row r="17" spans="2:24" x14ac:dyDescent="0.25">
      <c r="B17" s="37"/>
      <c r="C17" s="32"/>
      <c r="D17" s="32"/>
      <c r="E17" s="32"/>
      <c r="F17" s="32"/>
      <c r="G17" s="32"/>
      <c r="H17" s="32"/>
      <c r="I17" s="29"/>
      <c r="P17" s="37"/>
      <c r="Q17" s="33"/>
      <c r="R17" s="33"/>
      <c r="S17" s="33"/>
      <c r="T17" s="33"/>
      <c r="U17" s="33"/>
      <c r="V17" s="33"/>
    </row>
    <row r="18" spans="2:24" x14ac:dyDescent="0.25">
      <c r="B18" s="37"/>
      <c r="C18" s="32"/>
      <c r="D18" s="32"/>
      <c r="E18" s="32"/>
      <c r="F18" s="32"/>
      <c r="G18" s="32"/>
      <c r="H18" s="32"/>
      <c r="I18" s="29"/>
      <c r="P18" s="37"/>
      <c r="Q18" s="33"/>
      <c r="R18" s="33"/>
      <c r="S18" s="33"/>
      <c r="T18" s="33"/>
      <c r="U18" s="33"/>
      <c r="V18" s="33"/>
    </row>
    <row r="19" spans="2:24" x14ac:dyDescent="0.25">
      <c r="B19" s="37" t="s">
        <v>0</v>
      </c>
      <c r="C19" s="28">
        <f>-C2</f>
        <v>-2500000</v>
      </c>
      <c r="D19" s="32"/>
      <c r="E19" s="32"/>
      <c r="F19" s="32"/>
      <c r="G19" s="32"/>
      <c r="H19" s="32"/>
      <c r="I19" s="29"/>
      <c r="P19" s="37" t="s">
        <v>0</v>
      </c>
      <c r="Q19" s="21">
        <f>-Q2</f>
        <v>-2500000</v>
      </c>
      <c r="R19" s="22"/>
      <c r="S19" s="22"/>
      <c r="T19" s="22"/>
      <c r="U19" s="22"/>
      <c r="V19" s="22"/>
      <c r="W19" s="19"/>
      <c r="X19" s="19"/>
    </row>
    <row r="20" spans="2:24" x14ac:dyDescent="0.25">
      <c r="B20" s="37" t="s">
        <v>9</v>
      </c>
      <c r="C20" s="32"/>
      <c r="D20" s="32">
        <f>$C$5*$C$6</f>
        <v>87500</v>
      </c>
      <c r="E20" s="32">
        <f t="shared" ref="E20:I20" si="6">$C$5*$C$6</f>
        <v>87500</v>
      </c>
      <c r="F20" s="32">
        <f t="shared" si="6"/>
        <v>87500</v>
      </c>
      <c r="G20" s="32">
        <f t="shared" si="6"/>
        <v>87500</v>
      </c>
      <c r="H20" s="32">
        <f t="shared" si="6"/>
        <v>87500</v>
      </c>
      <c r="I20" s="32">
        <f t="shared" si="6"/>
        <v>87500</v>
      </c>
      <c r="P20" s="37" t="s">
        <v>9</v>
      </c>
      <c r="Q20" s="22"/>
      <c r="R20" s="22">
        <f>$Q$5*$Q$6</f>
        <v>87500</v>
      </c>
      <c r="S20" s="22">
        <f t="shared" ref="S20:W20" si="7">$Q$5*$Q$6</f>
        <v>87500</v>
      </c>
      <c r="T20" s="22">
        <f t="shared" si="7"/>
        <v>87500</v>
      </c>
      <c r="U20" s="22">
        <f t="shared" si="7"/>
        <v>87500</v>
      </c>
      <c r="V20" s="22">
        <f t="shared" si="7"/>
        <v>87500</v>
      </c>
      <c r="W20" s="22">
        <f t="shared" si="7"/>
        <v>87500</v>
      </c>
      <c r="X20" s="19"/>
    </row>
    <row r="21" spans="2:24" x14ac:dyDescent="0.25">
      <c r="B21" s="37" t="s">
        <v>10</v>
      </c>
      <c r="C21" s="32"/>
      <c r="D21" s="32"/>
      <c r="E21" s="32"/>
      <c r="F21" s="32"/>
      <c r="G21" s="32"/>
      <c r="H21" s="32"/>
      <c r="I21" s="29"/>
      <c r="P21" s="37" t="s">
        <v>10</v>
      </c>
      <c r="Q21" s="22"/>
      <c r="R21" s="22"/>
      <c r="S21" s="22"/>
      <c r="T21" s="22"/>
      <c r="U21" s="22"/>
      <c r="V21" s="22"/>
      <c r="W21" s="22">
        <f>Q8</f>
        <v>40000</v>
      </c>
      <c r="X21" s="19"/>
    </row>
    <row r="22" spans="2:24" x14ac:dyDescent="0.25">
      <c r="B22" s="37" t="s">
        <v>11</v>
      </c>
      <c r="C22" s="32">
        <f>C19+C20</f>
        <v>-2500000</v>
      </c>
      <c r="D22" s="32">
        <f t="shared" ref="D22:I22" si="8">D19+D20</f>
        <v>87500</v>
      </c>
      <c r="E22" s="32">
        <f t="shared" si="8"/>
        <v>87500</v>
      </c>
      <c r="F22" s="32">
        <f t="shared" si="8"/>
        <v>87500</v>
      </c>
      <c r="G22" s="32">
        <f t="shared" si="8"/>
        <v>87500</v>
      </c>
      <c r="H22" s="32">
        <f t="shared" si="8"/>
        <v>87500</v>
      </c>
      <c r="I22" s="32">
        <f t="shared" si="8"/>
        <v>87500</v>
      </c>
      <c r="P22" s="37" t="s">
        <v>11</v>
      </c>
      <c r="Q22" s="21">
        <f>SUM(Q19:Q21)</f>
        <v>-2500000</v>
      </c>
      <c r="R22" s="21">
        <f t="shared" ref="R22:V22" si="9">SUM(R19:R21)</f>
        <v>87500</v>
      </c>
      <c r="S22" s="21">
        <f t="shared" si="9"/>
        <v>87500</v>
      </c>
      <c r="T22" s="21">
        <f t="shared" si="9"/>
        <v>87500</v>
      </c>
      <c r="U22" s="21">
        <f t="shared" si="9"/>
        <v>87500</v>
      </c>
      <c r="V22" s="21">
        <f t="shared" si="9"/>
        <v>87500</v>
      </c>
      <c r="W22" s="21">
        <f>SUM(W19:W21)</f>
        <v>127500</v>
      </c>
      <c r="X22" s="19"/>
    </row>
    <row r="23" spans="2:24" x14ac:dyDescent="0.25">
      <c r="B23" s="37"/>
      <c r="C23" s="32"/>
      <c r="D23" s="32"/>
      <c r="E23" s="32"/>
      <c r="F23" s="32"/>
      <c r="G23" s="32"/>
      <c r="H23" s="32"/>
      <c r="I23" s="29"/>
      <c r="P23" s="37"/>
      <c r="Q23" s="22"/>
      <c r="R23" s="22"/>
      <c r="S23" s="22"/>
      <c r="T23" s="22"/>
      <c r="U23" s="22"/>
      <c r="V23" s="22"/>
      <c r="W23" s="19"/>
      <c r="X23" s="19"/>
    </row>
    <row r="24" spans="2:24" x14ac:dyDescent="0.25">
      <c r="B24" s="37" t="s">
        <v>12</v>
      </c>
      <c r="C24" s="32"/>
      <c r="D24" s="32"/>
      <c r="E24" s="32"/>
      <c r="F24" s="32"/>
      <c r="G24" s="32"/>
      <c r="H24" s="32"/>
      <c r="I24" s="29"/>
      <c r="P24" s="37" t="s">
        <v>12</v>
      </c>
      <c r="Q24" s="22"/>
      <c r="R24" s="22"/>
      <c r="S24" s="22"/>
      <c r="T24" s="22"/>
      <c r="U24" s="22"/>
      <c r="V24" s="22"/>
      <c r="W24" s="19"/>
      <c r="X24" s="19"/>
    </row>
    <row r="25" spans="2:24" x14ac:dyDescent="0.25">
      <c r="B25" s="37" t="s">
        <v>16</v>
      </c>
      <c r="C25" s="28">
        <f>C16-C22</f>
        <v>2144500</v>
      </c>
      <c r="D25" s="28">
        <f t="shared" ref="D25:I25" si="10">D16-D22</f>
        <v>-443000</v>
      </c>
      <c r="E25" s="28">
        <f t="shared" si="10"/>
        <v>-443000</v>
      </c>
      <c r="F25" s="28">
        <f t="shared" si="10"/>
        <v>-443000</v>
      </c>
      <c r="G25" s="28">
        <f t="shared" si="10"/>
        <v>-443000</v>
      </c>
      <c r="H25" s="28">
        <f t="shared" si="10"/>
        <v>-443000</v>
      </c>
      <c r="I25" s="28">
        <f t="shared" si="10"/>
        <v>-87500</v>
      </c>
      <c r="P25" s="37" t="s">
        <v>16</v>
      </c>
      <c r="Q25" s="23">
        <f>Q16-Q22</f>
        <v>2144500</v>
      </c>
      <c r="R25" s="23">
        <f t="shared" ref="R25:W25" si="11">R16-R22</f>
        <v>-443000</v>
      </c>
      <c r="S25" s="23">
        <f t="shared" si="11"/>
        <v>-443000</v>
      </c>
      <c r="T25" s="23">
        <f t="shared" si="11"/>
        <v>-443000</v>
      </c>
      <c r="U25" s="23">
        <f t="shared" si="11"/>
        <v>-443000</v>
      </c>
      <c r="V25" s="23">
        <f t="shared" si="11"/>
        <v>-443000</v>
      </c>
      <c r="W25" s="23">
        <f t="shared" si="11"/>
        <v>-127500</v>
      </c>
      <c r="X25" s="19"/>
    </row>
    <row r="26" spans="2:24" x14ac:dyDescent="0.25">
      <c r="B26" s="37"/>
      <c r="C26" s="27"/>
      <c r="D26" s="27"/>
      <c r="E26" s="27"/>
      <c r="F26" s="27"/>
      <c r="G26" s="27"/>
      <c r="H26" s="27"/>
      <c r="I26" s="27"/>
      <c r="P26" s="37"/>
      <c r="Q26" s="19"/>
      <c r="R26" s="19"/>
      <c r="S26" s="19"/>
      <c r="T26" s="19"/>
      <c r="U26" s="19"/>
      <c r="V26" s="19"/>
      <c r="W26" s="19"/>
      <c r="X26" s="19"/>
    </row>
    <row r="27" spans="2:24" x14ac:dyDescent="0.25">
      <c r="B27" s="37" t="s">
        <v>13</v>
      </c>
      <c r="C27" s="34">
        <f>IRR(C25:I25)</f>
        <v>2.3287342219672436E-2</v>
      </c>
      <c r="D27" s="27"/>
      <c r="E27" s="27"/>
      <c r="F27" s="27"/>
      <c r="G27" s="27"/>
      <c r="H27" s="27"/>
      <c r="I27" s="27"/>
      <c r="P27" s="37" t="s">
        <v>13</v>
      </c>
      <c r="Q27" s="24">
        <f>IRR(Q25:W25)</f>
        <v>2.861547095913064E-2</v>
      </c>
      <c r="R27" s="19"/>
      <c r="S27" s="19"/>
      <c r="T27" s="19"/>
      <c r="U27" s="19"/>
      <c r="V27" s="19"/>
      <c r="W27" s="19"/>
      <c r="X27" s="19"/>
    </row>
    <row r="28" spans="2:24" x14ac:dyDescent="0.25">
      <c r="B28" s="38" t="s">
        <v>14</v>
      </c>
      <c r="C28" s="35">
        <f>C3*(1-C6)</f>
        <v>7.9000000000000015E-2</v>
      </c>
      <c r="D28" s="27"/>
      <c r="E28" s="27"/>
      <c r="F28" s="27"/>
      <c r="G28" s="27"/>
      <c r="H28" s="27"/>
      <c r="I28" s="27"/>
      <c r="P28" s="38" t="s">
        <v>14</v>
      </c>
      <c r="Q28" s="25">
        <f>Q3*(1-Q6)</f>
        <v>7.9000000000000015E-2</v>
      </c>
      <c r="R28" s="19"/>
      <c r="S28" s="19"/>
      <c r="T28" s="19"/>
      <c r="U28" s="19"/>
      <c r="V28" s="19"/>
      <c r="W28" s="19"/>
      <c r="X28" s="19"/>
    </row>
    <row r="29" spans="2:24" x14ac:dyDescent="0.25">
      <c r="B29" s="38" t="s">
        <v>15</v>
      </c>
      <c r="C29" s="39" t="str">
        <f>IF(C27&lt;C28,"lease", "buy")</f>
        <v>lease</v>
      </c>
      <c r="D29" s="27"/>
      <c r="E29" s="27"/>
      <c r="F29" s="27"/>
      <c r="G29" s="27"/>
      <c r="H29" s="27"/>
      <c r="I29" s="27"/>
      <c r="P29" s="38" t="s">
        <v>15</v>
      </c>
      <c r="Q29" s="18" t="str">
        <f>IF(Q27&lt;Q28,"lease","Buy")</f>
        <v>lease</v>
      </c>
    </row>
    <row r="33" spans="3:7" x14ac:dyDescent="0.25">
      <c r="C33" s="26">
        <f>C6*C4</f>
        <v>94500</v>
      </c>
      <c r="D33" s="26">
        <f t="shared" ref="D33:G33" si="12">D6*D4</f>
        <v>0</v>
      </c>
      <c r="E33" s="26">
        <f t="shared" si="12"/>
        <v>0</v>
      </c>
      <c r="F33" s="26">
        <f t="shared" si="12"/>
        <v>0</v>
      </c>
      <c r="G33" s="26">
        <f t="shared" si="12"/>
        <v>0</v>
      </c>
    </row>
    <row r="34" spans="3:7" x14ac:dyDescent="0.25">
      <c r="C34" s="52">
        <f>C14+C33</f>
        <v>-355500</v>
      </c>
    </row>
  </sheetData>
  <conditionalFormatting sqref="C29">
    <cfRule type="cellIs" dxfId="1" priority="1" operator="equal">
      <formula>"lease"</formula>
    </cfRule>
    <cfRule type="cellIs" dxfId="0" priority="2" operator="equal">
      <formula>"buy"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AD7E-0105-45E4-AC03-77AC4A0A2197}">
  <dimension ref="A1:H29"/>
  <sheetViews>
    <sheetView workbookViewId="0">
      <selection activeCell="D27" sqref="D27"/>
    </sheetView>
  </sheetViews>
  <sheetFormatPr defaultRowHeight="13.2" x14ac:dyDescent="0.25"/>
  <cols>
    <col min="2" max="2" width="19.44140625" bestFit="1" customWidth="1"/>
    <col min="3" max="3" width="21" bestFit="1" customWidth="1"/>
    <col min="4" max="4" width="12.44140625" bestFit="1" customWidth="1"/>
    <col min="5" max="5" width="10.5546875" bestFit="1" customWidth="1"/>
    <col min="6" max="6" width="11.33203125" bestFit="1" customWidth="1"/>
    <col min="7" max="7" width="16.109375" bestFit="1" customWidth="1"/>
    <col min="8" max="8" width="12.21875" bestFit="1" customWidth="1"/>
  </cols>
  <sheetData>
    <row r="1" spans="1:8" x14ac:dyDescent="0.25">
      <c r="A1" s="20"/>
      <c r="B1" s="20"/>
      <c r="C1" s="20"/>
      <c r="D1" s="20"/>
      <c r="E1" s="26"/>
    </row>
    <row r="2" spans="1:8" x14ac:dyDescent="0.25">
      <c r="A2" s="20"/>
      <c r="B2" s="40" t="s">
        <v>17</v>
      </c>
      <c r="C2" s="41">
        <v>60000000</v>
      </c>
      <c r="D2" s="20"/>
    </row>
    <row r="3" spans="1:8" x14ac:dyDescent="0.25">
      <c r="A3" s="20"/>
      <c r="B3" s="40" t="s">
        <v>27</v>
      </c>
      <c r="C3" s="41">
        <v>5</v>
      </c>
      <c r="D3" s="20"/>
    </row>
    <row r="4" spans="1:8" x14ac:dyDescent="0.25">
      <c r="A4" s="20"/>
      <c r="B4" s="40" t="s">
        <v>26</v>
      </c>
      <c r="C4" s="41">
        <f>C2*C3</f>
        <v>300000000</v>
      </c>
      <c r="D4" s="20"/>
    </row>
    <row r="5" spans="1:8" x14ac:dyDescent="0.25">
      <c r="A5" s="20"/>
      <c r="B5" s="40" t="s">
        <v>18</v>
      </c>
      <c r="C5" s="42">
        <v>10</v>
      </c>
      <c r="D5" s="20"/>
    </row>
    <row r="6" spans="1:8" x14ac:dyDescent="0.25">
      <c r="A6" s="20"/>
      <c r="B6" s="40" t="s">
        <v>19</v>
      </c>
      <c r="C6" s="46">
        <f>25%*C4</f>
        <v>75000000</v>
      </c>
      <c r="D6" s="20"/>
    </row>
    <row r="7" spans="1:8" x14ac:dyDescent="0.25">
      <c r="A7" s="20"/>
      <c r="B7" s="40" t="s">
        <v>20</v>
      </c>
      <c r="C7" s="46">
        <f>75%*C4</f>
        <v>225000000</v>
      </c>
      <c r="D7" s="20"/>
    </row>
    <row r="8" spans="1:8" x14ac:dyDescent="0.25">
      <c r="A8" s="20"/>
      <c r="B8" s="40" t="s">
        <v>21</v>
      </c>
      <c r="C8" s="43">
        <v>0.1</v>
      </c>
      <c r="D8" s="20"/>
    </row>
    <row r="9" spans="1:8" x14ac:dyDescent="0.25">
      <c r="A9" s="20"/>
      <c r="B9" s="40" t="s">
        <v>22</v>
      </c>
      <c r="C9" s="46">
        <f>PMT(C8,C5,-C7)</f>
        <v>36617713.848565117</v>
      </c>
      <c r="D9" s="20"/>
    </row>
    <row r="10" spans="1:8" x14ac:dyDescent="0.25">
      <c r="A10" s="20"/>
      <c r="B10" s="40" t="s">
        <v>32</v>
      </c>
      <c r="C10" s="47">
        <v>38000000</v>
      </c>
      <c r="D10" s="20"/>
    </row>
    <row r="11" spans="1:8" x14ac:dyDescent="0.25">
      <c r="A11" s="20"/>
      <c r="B11" s="40" t="s">
        <v>23</v>
      </c>
      <c r="C11" s="43">
        <v>0.25</v>
      </c>
      <c r="D11" s="20"/>
    </row>
    <row r="12" spans="1:8" x14ac:dyDescent="0.25">
      <c r="A12" s="20"/>
      <c r="B12" s="45" t="s">
        <v>25</v>
      </c>
      <c r="C12" s="44">
        <f>C4/C3</f>
        <v>60000000</v>
      </c>
      <c r="D12" s="20"/>
      <c r="E12" s="26"/>
    </row>
    <row r="13" spans="1:8" x14ac:dyDescent="0.25">
      <c r="A13" s="26"/>
      <c r="B13" s="26"/>
      <c r="C13" s="26"/>
      <c r="D13" s="26"/>
      <c r="E13" s="26"/>
    </row>
    <row r="14" spans="1:8" x14ac:dyDescent="0.25">
      <c r="A14" s="26"/>
      <c r="B14" s="26"/>
      <c r="C14" s="26"/>
      <c r="D14" s="26"/>
      <c r="E14" s="26"/>
    </row>
    <row r="15" spans="1:8" x14ac:dyDescent="0.25">
      <c r="B15" t="s">
        <v>3</v>
      </c>
      <c r="C15" t="s">
        <v>30</v>
      </c>
      <c r="D15" t="s">
        <v>24</v>
      </c>
      <c r="E15" t="s">
        <v>25</v>
      </c>
      <c r="F15" t="s">
        <v>31</v>
      </c>
      <c r="G15" t="s">
        <v>28</v>
      </c>
      <c r="H15" t="s">
        <v>29</v>
      </c>
    </row>
    <row r="16" spans="1:8" x14ac:dyDescent="0.25">
      <c r="B16">
        <v>0</v>
      </c>
      <c r="C16">
        <f>-C6</f>
        <v>-75000000</v>
      </c>
      <c r="D16" s="48">
        <f>$C$10</f>
        <v>38000000</v>
      </c>
      <c r="E16" s="14"/>
    </row>
    <row r="17" spans="2:7" x14ac:dyDescent="0.25">
      <c r="B17">
        <v>1</v>
      </c>
      <c r="C17" s="48"/>
      <c r="D17" s="48">
        <f t="shared" ref="D17:D26" si="0">$C$10</f>
        <v>38000000</v>
      </c>
      <c r="E17" s="14">
        <f t="shared" ref="E17:E21" si="1">$C$12</f>
        <v>60000000</v>
      </c>
      <c r="F17">
        <f>$C$7*$C$8</f>
        <v>22500000</v>
      </c>
      <c r="G17">
        <f>(E17+F17)*$C$11</f>
        <v>20625000</v>
      </c>
    </row>
    <row r="18" spans="2:7" x14ac:dyDescent="0.25">
      <c r="B18">
        <v>2</v>
      </c>
      <c r="D18" s="48">
        <f>$C$10</f>
        <v>38000000</v>
      </c>
      <c r="E18" s="14">
        <f t="shared" si="1"/>
        <v>60000000</v>
      </c>
      <c r="F18">
        <f t="shared" ref="F18:F26" si="2">$C$7*$C$8</f>
        <v>22500000</v>
      </c>
      <c r="G18">
        <f t="shared" ref="G18:G26" si="3">(E18+F18)*$C$11</f>
        <v>20625000</v>
      </c>
    </row>
    <row r="19" spans="2:7" x14ac:dyDescent="0.25">
      <c r="B19">
        <v>3</v>
      </c>
      <c r="D19" s="48">
        <f t="shared" si="0"/>
        <v>38000000</v>
      </c>
      <c r="E19" s="14">
        <f t="shared" si="1"/>
        <v>60000000</v>
      </c>
      <c r="F19">
        <f t="shared" si="2"/>
        <v>22500000</v>
      </c>
      <c r="G19">
        <f t="shared" si="3"/>
        <v>20625000</v>
      </c>
    </row>
    <row r="20" spans="2:7" x14ac:dyDescent="0.25">
      <c r="B20">
        <v>4</v>
      </c>
      <c r="D20" s="48">
        <f t="shared" si="0"/>
        <v>38000000</v>
      </c>
      <c r="E20" s="14">
        <f t="shared" si="1"/>
        <v>60000000</v>
      </c>
      <c r="F20">
        <f t="shared" si="2"/>
        <v>22500000</v>
      </c>
      <c r="G20">
        <f t="shared" si="3"/>
        <v>20625000</v>
      </c>
    </row>
    <row r="21" spans="2:7" x14ac:dyDescent="0.25">
      <c r="B21">
        <v>5</v>
      </c>
      <c r="D21" s="48">
        <f t="shared" si="0"/>
        <v>38000000</v>
      </c>
      <c r="E21" s="14">
        <f t="shared" si="1"/>
        <v>60000000</v>
      </c>
      <c r="F21">
        <f t="shared" si="2"/>
        <v>22500000</v>
      </c>
      <c r="G21">
        <f t="shared" si="3"/>
        <v>20625000</v>
      </c>
    </row>
    <row r="22" spans="2:7" x14ac:dyDescent="0.25">
      <c r="B22">
        <v>6</v>
      </c>
      <c r="D22" s="48">
        <f t="shared" si="0"/>
        <v>38000000</v>
      </c>
      <c r="E22" s="14"/>
      <c r="F22">
        <f t="shared" si="2"/>
        <v>22500000</v>
      </c>
      <c r="G22">
        <f t="shared" si="3"/>
        <v>5625000</v>
      </c>
    </row>
    <row r="23" spans="2:7" x14ac:dyDescent="0.25">
      <c r="B23">
        <v>7</v>
      </c>
      <c r="D23" s="48">
        <f t="shared" si="0"/>
        <v>38000000</v>
      </c>
      <c r="E23" s="14"/>
      <c r="F23">
        <f t="shared" si="2"/>
        <v>22500000</v>
      </c>
      <c r="G23">
        <f t="shared" si="3"/>
        <v>5625000</v>
      </c>
    </row>
    <row r="24" spans="2:7" x14ac:dyDescent="0.25">
      <c r="B24">
        <v>8</v>
      </c>
      <c r="D24" s="48">
        <f t="shared" si="0"/>
        <v>38000000</v>
      </c>
      <c r="E24" s="14"/>
      <c r="F24">
        <f t="shared" si="2"/>
        <v>22500000</v>
      </c>
      <c r="G24">
        <f t="shared" si="3"/>
        <v>5625000</v>
      </c>
    </row>
    <row r="25" spans="2:7" x14ac:dyDescent="0.25">
      <c r="B25">
        <v>9</v>
      </c>
      <c r="D25" s="48">
        <f t="shared" si="0"/>
        <v>38000000</v>
      </c>
      <c r="E25" s="14"/>
      <c r="F25">
        <f t="shared" si="2"/>
        <v>22500000</v>
      </c>
      <c r="G25">
        <f t="shared" si="3"/>
        <v>5625000</v>
      </c>
    </row>
    <row r="26" spans="2:7" x14ac:dyDescent="0.25">
      <c r="B26">
        <v>10</v>
      </c>
      <c r="D26" s="48">
        <f t="shared" si="0"/>
        <v>38000000</v>
      </c>
      <c r="E26" s="14"/>
      <c r="F26">
        <f t="shared" si="2"/>
        <v>22500000</v>
      </c>
      <c r="G26">
        <f t="shared" si="3"/>
        <v>5625000</v>
      </c>
    </row>
    <row r="27" spans="2:7" x14ac:dyDescent="0.25">
      <c r="B27" s="14"/>
    </row>
    <row r="28" spans="2:7" x14ac:dyDescent="0.25">
      <c r="B28" s="17"/>
    </row>
    <row r="29" spans="2:7" x14ac:dyDescent="0.25">
      <c r="B2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B00C-28CA-46E9-B6F6-4B19D3DB2CC3}">
  <dimension ref="A2:L27"/>
  <sheetViews>
    <sheetView zoomScale="78" workbookViewId="0">
      <selection activeCell="L24" sqref="L24"/>
    </sheetView>
  </sheetViews>
  <sheetFormatPr defaultRowHeight="13.2" x14ac:dyDescent="0.25"/>
  <cols>
    <col min="1" max="1" width="31.33203125" bestFit="1" customWidth="1"/>
    <col min="2" max="2" width="13.44140625" bestFit="1" customWidth="1"/>
    <col min="3" max="3" width="11.88671875" bestFit="1" customWidth="1"/>
    <col min="4" max="4" width="13.44140625" bestFit="1" customWidth="1"/>
    <col min="6" max="6" width="13.44140625" bestFit="1" customWidth="1"/>
    <col min="8" max="8" width="19.109375" bestFit="1" customWidth="1"/>
    <col min="9" max="9" width="25.109375" bestFit="1" customWidth="1"/>
    <col min="10" max="10" width="13.44140625" bestFit="1" customWidth="1"/>
    <col min="12" max="12" width="27.21875" bestFit="1" customWidth="1"/>
  </cols>
  <sheetData>
    <row r="2" spans="1:12" x14ac:dyDescent="0.25">
      <c r="A2" t="s">
        <v>33</v>
      </c>
      <c r="B2" s="49">
        <v>600000</v>
      </c>
    </row>
    <row r="3" spans="1:12" x14ac:dyDescent="0.25">
      <c r="A3" t="s">
        <v>34</v>
      </c>
      <c r="B3" s="49">
        <v>100000</v>
      </c>
    </row>
    <row r="4" spans="1:12" x14ac:dyDescent="0.25">
      <c r="A4" t="s">
        <v>35</v>
      </c>
      <c r="B4" s="17">
        <v>0.3</v>
      </c>
    </row>
    <row r="5" spans="1:12" x14ac:dyDescent="0.25">
      <c r="A5" t="s">
        <v>40</v>
      </c>
      <c r="B5" s="49">
        <v>115000</v>
      </c>
    </row>
    <row r="6" spans="1:12" x14ac:dyDescent="0.25">
      <c r="A6" t="s">
        <v>36</v>
      </c>
      <c r="B6" s="17">
        <v>0.05</v>
      </c>
    </row>
    <row r="8" spans="1:12" x14ac:dyDescent="0.25">
      <c r="B8" s="19" t="s">
        <v>38</v>
      </c>
      <c r="H8" s="19" t="s">
        <v>39</v>
      </c>
      <c r="L8" t="s">
        <v>45</v>
      </c>
    </row>
    <row r="10" spans="1:12" x14ac:dyDescent="0.25">
      <c r="A10" t="s">
        <v>37</v>
      </c>
      <c r="B10" t="s">
        <v>41</v>
      </c>
      <c r="C10" t="s">
        <v>42</v>
      </c>
      <c r="D10" t="s">
        <v>43</v>
      </c>
      <c r="G10" t="s">
        <v>37</v>
      </c>
      <c r="H10" t="s">
        <v>41</v>
      </c>
      <c r="I10" t="s">
        <v>44</v>
      </c>
      <c r="J10" t="s">
        <v>43</v>
      </c>
    </row>
    <row r="11" spans="1:12" x14ac:dyDescent="0.25">
      <c r="A11">
        <v>0</v>
      </c>
      <c r="B11" s="49">
        <f>-$B$5</f>
        <v>-115000</v>
      </c>
      <c r="C11" s="49">
        <f>$B$5*$B$4</f>
        <v>34500</v>
      </c>
      <c r="D11" s="49">
        <f>B11+C11</f>
        <v>-80500</v>
      </c>
      <c r="G11">
        <v>0</v>
      </c>
      <c r="H11" s="49">
        <f>-B2</f>
        <v>-600000</v>
      </c>
      <c r="J11" s="49">
        <f>SUM(H11:I11)</f>
        <v>-600000</v>
      </c>
      <c r="L11" s="49">
        <f>D11-J11</f>
        <v>519500</v>
      </c>
    </row>
    <row r="12" spans="1:12" x14ac:dyDescent="0.25">
      <c r="A12">
        <v>1</v>
      </c>
      <c r="B12" s="49">
        <f t="shared" ref="B12:B16" si="0">-$B$5</f>
        <v>-115000</v>
      </c>
      <c r="C12" s="49">
        <f t="shared" ref="C12:C16" si="1">$B$5*$B$4</f>
        <v>34500</v>
      </c>
      <c r="D12" s="49">
        <f t="shared" ref="D12:D16" si="2">B12+C12</f>
        <v>-80500</v>
      </c>
      <c r="G12">
        <v>1</v>
      </c>
      <c r="I12" s="49">
        <f>($B$2/$G$17)*$B$4</f>
        <v>30000</v>
      </c>
      <c r="J12" s="49">
        <f t="shared" ref="J12:J17" si="3">SUM(H12:I12)</f>
        <v>30000</v>
      </c>
      <c r="L12" s="49">
        <f t="shared" ref="L12:L17" si="4">D12-J12</f>
        <v>-110500</v>
      </c>
    </row>
    <row r="13" spans="1:12" x14ac:dyDescent="0.25">
      <c r="A13">
        <v>2</v>
      </c>
      <c r="B13" s="49">
        <f t="shared" si="0"/>
        <v>-115000</v>
      </c>
      <c r="C13" s="49">
        <f t="shared" si="1"/>
        <v>34500</v>
      </c>
      <c r="D13" s="49">
        <f t="shared" si="2"/>
        <v>-80500</v>
      </c>
      <c r="G13">
        <v>2</v>
      </c>
      <c r="I13" s="49">
        <f t="shared" ref="I13:I17" si="5">($B$2/$G$17)*$B$4</f>
        <v>30000</v>
      </c>
      <c r="J13" s="49">
        <f t="shared" si="3"/>
        <v>30000</v>
      </c>
      <c r="L13" s="49">
        <f t="shared" si="4"/>
        <v>-110500</v>
      </c>
    </row>
    <row r="14" spans="1:12" x14ac:dyDescent="0.25">
      <c r="A14">
        <v>3</v>
      </c>
      <c r="B14" s="49">
        <f t="shared" si="0"/>
        <v>-115000</v>
      </c>
      <c r="C14" s="49">
        <f t="shared" si="1"/>
        <v>34500</v>
      </c>
      <c r="D14" s="49">
        <f t="shared" si="2"/>
        <v>-80500</v>
      </c>
      <c r="G14">
        <v>3</v>
      </c>
      <c r="I14" s="49">
        <f t="shared" si="5"/>
        <v>30000</v>
      </c>
      <c r="J14" s="49">
        <f t="shared" si="3"/>
        <v>30000</v>
      </c>
      <c r="L14" s="49">
        <f t="shared" si="4"/>
        <v>-110500</v>
      </c>
    </row>
    <row r="15" spans="1:12" x14ac:dyDescent="0.25">
      <c r="A15">
        <v>4</v>
      </c>
      <c r="B15" s="49">
        <f t="shared" si="0"/>
        <v>-115000</v>
      </c>
      <c r="C15" s="49">
        <f t="shared" si="1"/>
        <v>34500</v>
      </c>
      <c r="D15" s="49">
        <f t="shared" si="2"/>
        <v>-80500</v>
      </c>
      <c r="G15">
        <v>4</v>
      </c>
      <c r="I15" s="49">
        <f t="shared" si="5"/>
        <v>30000</v>
      </c>
      <c r="J15" s="49">
        <f t="shared" si="3"/>
        <v>30000</v>
      </c>
      <c r="L15" s="49">
        <f t="shared" si="4"/>
        <v>-110500</v>
      </c>
    </row>
    <row r="16" spans="1:12" x14ac:dyDescent="0.25">
      <c r="A16">
        <v>5</v>
      </c>
      <c r="B16" s="49">
        <f t="shared" si="0"/>
        <v>-115000</v>
      </c>
      <c r="C16" s="49">
        <f t="shared" si="1"/>
        <v>34500</v>
      </c>
      <c r="D16" s="49">
        <f t="shared" si="2"/>
        <v>-80500</v>
      </c>
      <c r="G16">
        <v>5</v>
      </c>
      <c r="I16" s="49">
        <f t="shared" si="5"/>
        <v>30000</v>
      </c>
      <c r="J16" s="49">
        <f t="shared" si="3"/>
        <v>30000</v>
      </c>
      <c r="L16" s="49">
        <f t="shared" si="4"/>
        <v>-110500</v>
      </c>
    </row>
    <row r="17" spans="1:12" x14ac:dyDescent="0.25">
      <c r="A17">
        <v>6</v>
      </c>
      <c r="B17" s="49"/>
      <c r="C17" s="49"/>
      <c r="D17" s="49"/>
      <c r="G17">
        <v>6</v>
      </c>
      <c r="I17" s="49">
        <f t="shared" si="5"/>
        <v>30000</v>
      </c>
      <c r="J17" s="49">
        <f t="shared" si="3"/>
        <v>30000</v>
      </c>
      <c r="L17" s="49">
        <f t="shared" si="4"/>
        <v>-30000</v>
      </c>
    </row>
    <row r="18" spans="1:12" x14ac:dyDescent="0.25">
      <c r="L18" s="49"/>
    </row>
    <row r="19" spans="1:12" x14ac:dyDescent="0.25">
      <c r="A19" s="19" t="s">
        <v>67</v>
      </c>
      <c r="L19" s="49"/>
    </row>
    <row r="20" spans="1:12" x14ac:dyDescent="0.25">
      <c r="L20" s="49"/>
    </row>
    <row r="21" spans="1:12" x14ac:dyDescent="0.25">
      <c r="A21" t="s">
        <v>46</v>
      </c>
      <c r="B21" s="50">
        <f>IRR(L11:L17)</f>
        <v>3.7470534433510672E-2</v>
      </c>
    </row>
    <row r="22" spans="1:12" x14ac:dyDescent="0.25">
      <c r="A22" t="s">
        <v>47</v>
      </c>
      <c r="B22" s="50">
        <f>B6*(1-B4)</f>
        <v>3.4999999999999996E-2</v>
      </c>
    </row>
    <row r="24" spans="1:12" x14ac:dyDescent="0.25">
      <c r="A24" t="s">
        <v>48</v>
      </c>
      <c r="B24" s="51" t="str">
        <f>IF(B21&lt;B22,"Lease", "Buy")</f>
        <v>Buy</v>
      </c>
      <c r="L24" s="49"/>
    </row>
    <row r="27" spans="1:12" x14ac:dyDescent="0.25">
      <c r="A27" s="19"/>
      <c r="D27" s="49"/>
      <c r="J27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FAD0-CF61-4DEB-A92B-75040881B4BA}">
  <dimension ref="A2:L24"/>
  <sheetViews>
    <sheetView workbookViewId="0">
      <selection activeCell="C26" sqref="C26"/>
    </sheetView>
  </sheetViews>
  <sheetFormatPr defaultRowHeight="13.2" x14ac:dyDescent="0.25"/>
  <cols>
    <col min="1" max="1" width="56.77734375" bestFit="1" customWidth="1"/>
    <col min="2" max="2" width="13.44140625" bestFit="1" customWidth="1"/>
    <col min="3" max="3" width="16.109375" customWidth="1"/>
    <col min="4" max="4" width="11.88671875" bestFit="1" customWidth="1"/>
    <col min="8" max="8" width="19.109375" bestFit="1" customWidth="1"/>
    <col min="9" max="9" width="25.109375" bestFit="1" customWidth="1"/>
    <col min="10" max="10" width="13.44140625" bestFit="1" customWidth="1"/>
    <col min="12" max="12" width="28.33203125" bestFit="1" customWidth="1"/>
  </cols>
  <sheetData>
    <row r="2" spans="1:12" x14ac:dyDescent="0.25">
      <c r="A2" t="s">
        <v>33</v>
      </c>
      <c r="B2" s="49">
        <v>600000</v>
      </c>
    </row>
    <row r="3" spans="1:12" x14ac:dyDescent="0.25">
      <c r="A3" t="s">
        <v>34</v>
      </c>
      <c r="B3" s="49">
        <v>100000</v>
      </c>
    </row>
    <row r="4" spans="1:12" x14ac:dyDescent="0.25">
      <c r="A4" t="s">
        <v>35</v>
      </c>
      <c r="B4" s="17">
        <v>0.3</v>
      </c>
    </row>
    <row r="5" spans="1:12" x14ac:dyDescent="0.25">
      <c r="A5" t="s">
        <v>40</v>
      </c>
      <c r="B5" s="55">
        <v>114011.28979633136</v>
      </c>
    </row>
    <row r="6" spans="1:12" x14ac:dyDescent="0.25">
      <c r="A6" t="s">
        <v>36</v>
      </c>
      <c r="B6" s="17">
        <v>0.05</v>
      </c>
    </row>
    <row r="10" spans="1:12" x14ac:dyDescent="0.25">
      <c r="B10" s="19" t="s">
        <v>38</v>
      </c>
      <c r="H10" s="19" t="s">
        <v>39</v>
      </c>
      <c r="L10" t="s">
        <v>45</v>
      </c>
    </row>
    <row r="12" spans="1:12" x14ac:dyDescent="0.25">
      <c r="A12" t="s">
        <v>37</v>
      </c>
      <c r="B12" t="s">
        <v>41</v>
      </c>
      <c r="C12" t="s">
        <v>42</v>
      </c>
      <c r="D12" t="s">
        <v>43</v>
      </c>
      <c r="G12" t="s">
        <v>37</v>
      </c>
      <c r="H12" t="s">
        <v>41</v>
      </c>
      <c r="I12" t="s">
        <v>44</v>
      </c>
      <c r="J12" t="s">
        <v>43</v>
      </c>
    </row>
    <row r="13" spans="1:12" x14ac:dyDescent="0.25">
      <c r="A13">
        <v>0</v>
      </c>
      <c r="B13" s="49">
        <f>-$B$5</f>
        <v>-114011.28979633136</v>
      </c>
      <c r="C13" s="49">
        <f>$B$5*$B$4</f>
        <v>34203.386938899406</v>
      </c>
      <c r="D13" s="49">
        <f>B13+C13</f>
        <v>-79807.902857431953</v>
      </c>
      <c r="G13">
        <v>0</v>
      </c>
      <c r="H13" s="49">
        <f>-B2</f>
        <v>-600000</v>
      </c>
      <c r="J13" s="49">
        <f>SUM(H13:I13)</f>
        <v>-600000</v>
      </c>
      <c r="L13" s="49">
        <f>D13-J13</f>
        <v>520192.09714256803</v>
      </c>
    </row>
    <row r="14" spans="1:12" x14ac:dyDescent="0.25">
      <c r="A14">
        <v>1</v>
      </c>
      <c r="B14" s="49">
        <f t="shared" ref="B14:B18" si="0">-$B$5</f>
        <v>-114011.28979633136</v>
      </c>
      <c r="C14" s="49">
        <f t="shared" ref="C14:C18" si="1">$B$5*$B$4</f>
        <v>34203.386938899406</v>
      </c>
      <c r="D14" s="49">
        <f t="shared" ref="D14:D18" si="2">B14+C14</f>
        <v>-79807.902857431953</v>
      </c>
      <c r="G14">
        <v>1</v>
      </c>
      <c r="I14" s="49">
        <f>($B$2/$G$19)*$B$4</f>
        <v>30000</v>
      </c>
      <c r="J14" s="49">
        <f t="shared" ref="J14:J19" si="3">SUM(H14:I14)</f>
        <v>30000</v>
      </c>
      <c r="L14" s="49">
        <f t="shared" ref="L14:L19" si="4">D14-J14</f>
        <v>-109807.90285743195</v>
      </c>
    </row>
    <row r="15" spans="1:12" x14ac:dyDescent="0.25">
      <c r="A15">
        <v>2</v>
      </c>
      <c r="B15" s="49">
        <f t="shared" si="0"/>
        <v>-114011.28979633136</v>
      </c>
      <c r="C15" s="49">
        <f t="shared" si="1"/>
        <v>34203.386938899406</v>
      </c>
      <c r="D15" s="49">
        <f t="shared" si="2"/>
        <v>-79807.902857431953</v>
      </c>
      <c r="G15">
        <v>2</v>
      </c>
      <c r="I15" s="49">
        <f t="shared" ref="I15:I19" si="5">($B$2/$G$19)*$B$4</f>
        <v>30000</v>
      </c>
      <c r="J15" s="49">
        <f t="shared" si="3"/>
        <v>30000</v>
      </c>
      <c r="L15" s="49">
        <f t="shared" si="4"/>
        <v>-109807.90285743195</v>
      </c>
    </row>
    <row r="16" spans="1:12" x14ac:dyDescent="0.25">
      <c r="A16">
        <v>3</v>
      </c>
      <c r="B16" s="49">
        <f t="shared" si="0"/>
        <v>-114011.28979633136</v>
      </c>
      <c r="C16" s="49">
        <f t="shared" si="1"/>
        <v>34203.386938899406</v>
      </c>
      <c r="D16" s="49">
        <f t="shared" si="2"/>
        <v>-79807.902857431953</v>
      </c>
      <c r="G16">
        <v>3</v>
      </c>
      <c r="I16" s="49">
        <f t="shared" si="5"/>
        <v>30000</v>
      </c>
      <c r="J16" s="49">
        <f t="shared" si="3"/>
        <v>30000</v>
      </c>
      <c r="L16" s="49">
        <f t="shared" si="4"/>
        <v>-109807.90285743195</v>
      </c>
    </row>
    <row r="17" spans="1:12" x14ac:dyDescent="0.25">
      <c r="A17">
        <v>4</v>
      </c>
      <c r="B17" s="49">
        <f t="shared" si="0"/>
        <v>-114011.28979633136</v>
      </c>
      <c r="C17" s="49">
        <f t="shared" si="1"/>
        <v>34203.386938899406</v>
      </c>
      <c r="D17" s="49">
        <f t="shared" si="2"/>
        <v>-79807.902857431953</v>
      </c>
      <c r="G17">
        <v>4</v>
      </c>
      <c r="I17" s="49">
        <f t="shared" si="5"/>
        <v>30000</v>
      </c>
      <c r="J17" s="49">
        <f t="shared" si="3"/>
        <v>30000</v>
      </c>
      <c r="L17" s="49">
        <f t="shared" si="4"/>
        <v>-109807.90285743195</v>
      </c>
    </row>
    <row r="18" spans="1:12" x14ac:dyDescent="0.25">
      <c r="A18">
        <v>5</v>
      </c>
      <c r="B18" s="49">
        <f t="shared" si="0"/>
        <v>-114011.28979633136</v>
      </c>
      <c r="C18" s="49">
        <f t="shared" si="1"/>
        <v>34203.386938899406</v>
      </c>
      <c r="D18" s="49">
        <f t="shared" si="2"/>
        <v>-79807.902857431953</v>
      </c>
      <c r="G18">
        <v>5</v>
      </c>
      <c r="I18" s="49">
        <f t="shared" si="5"/>
        <v>30000</v>
      </c>
      <c r="J18" s="49">
        <f t="shared" si="3"/>
        <v>30000</v>
      </c>
      <c r="L18" s="49">
        <f t="shared" si="4"/>
        <v>-109807.90285743195</v>
      </c>
    </row>
    <row r="19" spans="1:12" x14ac:dyDescent="0.25">
      <c r="A19">
        <v>6</v>
      </c>
      <c r="B19" s="49"/>
      <c r="C19" s="49"/>
      <c r="D19" s="49"/>
      <c r="G19">
        <v>6</v>
      </c>
      <c r="I19" s="49">
        <f t="shared" si="5"/>
        <v>30000</v>
      </c>
      <c r="J19" s="49">
        <f t="shared" si="3"/>
        <v>30000</v>
      </c>
      <c r="L19" s="49">
        <f t="shared" si="4"/>
        <v>-30000</v>
      </c>
    </row>
    <row r="20" spans="1:12" x14ac:dyDescent="0.25">
      <c r="L20" s="49"/>
    </row>
    <row r="21" spans="1:12" x14ac:dyDescent="0.25">
      <c r="A21" t="s">
        <v>46</v>
      </c>
      <c r="B21" s="50">
        <f>IRR(L13:L19)</f>
        <v>3.5000876570215667E-2</v>
      </c>
    </row>
    <row r="22" spans="1:12" x14ac:dyDescent="0.25">
      <c r="A22" t="s">
        <v>47</v>
      </c>
      <c r="B22" s="50">
        <f>B6*(1-B4)</f>
        <v>3.4999999999999996E-2</v>
      </c>
    </row>
    <row r="24" spans="1:12" x14ac:dyDescent="0.25">
      <c r="A24" t="s">
        <v>48</v>
      </c>
      <c r="B24" s="51" t="str">
        <f>IF(B21&lt;B22,"Lease", "Buy")</f>
        <v>Buy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68F1-88F9-495A-A5F4-E28E9FF0165B}">
  <dimension ref="A2:M24"/>
  <sheetViews>
    <sheetView topLeftCell="A10" workbookViewId="0">
      <selection activeCell="H30" sqref="H30"/>
    </sheetView>
  </sheetViews>
  <sheetFormatPr defaultRowHeight="13.2" x14ac:dyDescent="0.25"/>
  <cols>
    <col min="1" max="1" width="23.77734375" bestFit="1" customWidth="1"/>
    <col min="2" max="2" width="13.44140625" bestFit="1" customWidth="1"/>
    <col min="3" max="3" width="11.21875" bestFit="1" customWidth="1"/>
    <col min="4" max="4" width="11.88671875" bestFit="1" customWidth="1"/>
    <col min="7" max="7" width="5.33203125" bestFit="1" customWidth="1"/>
    <col min="8" max="8" width="19.109375" bestFit="1" customWidth="1"/>
    <col min="9" max="9" width="25.109375" bestFit="1" customWidth="1"/>
    <col min="10" max="10" width="25.109375" customWidth="1"/>
    <col min="11" max="11" width="13.44140625" bestFit="1" customWidth="1"/>
    <col min="13" max="13" width="28.33203125" bestFit="1" customWidth="1"/>
  </cols>
  <sheetData>
    <row r="2" spans="1:13" x14ac:dyDescent="0.25">
      <c r="A2" t="s">
        <v>33</v>
      </c>
      <c r="B2" s="49">
        <v>600000</v>
      </c>
    </row>
    <row r="3" spans="1:13" x14ac:dyDescent="0.25">
      <c r="A3" t="s">
        <v>34</v>
      </c>
      <c r="B3" s="49">
        <v>100000</v>
      </c>
    </row>
    <row r="4" spans="1:13" x14ac:dyDescent="0.25">
      <c r="A4" t="s">
        <v>35</v>
      </c>
      <c r="B4" s="17">
        <v>0.3</v>
      </c>
    </row>
    <row r="5" spans="1:13" x14ac:dyDescent="0.25">
      <c r="A5" t="s">
        <v>40</v>
      </c>
      <c r="B5" s="49">
        <v>115000</v>
      </c>
    </row>
    <row r="6" spans="1:13" x14ac:dyDescent="0.25">
      <c r="A6" t="s">
        <v>36</v>
      </c>
      <c r="B6" s="17">
        <v>0.05</v>
      </c>
    </row>
    <row r="7" spans="1:13" x14ac:dyDescent="0.25">
      <c r="A7" t="s">
        <v>52</v>
      </c>
      <c r="B7" s="49">
        <v>50000</v>
      </c>
    </row>
    <row r="8" spans="1:13" x14ac:dyDescent="0.25">
      <c r="A8" t="s">
        <v>53</v>
      </c>
      <c r="B8" s="48">
        <v>0.7</v>
      </c>
    </row>
    <row r="10" spans="1:13" x14ac:dyDescent="0.25">
      <c r="B10" s="19" t="s">
        <v>38</v>
      </c>
      <c r="H10" s="19" t="s">
        <v>39</v>
      </c>
      <c r="M10" t="s">
        <v>45</v>
      </c>
    </row>
    <row r="12" spans="1:13" x14ac:dyDescent="0.25">
      <c r="A12" t="s">
        <v>37</v>
      </c>
      <c r="B12" t="s">
        <v>41</v>
      </c>
      <c r="C12" t="s">
        <v>42</v>
      </c>
      <c r="D12" t="s">
        <v>43</v>
      </c>
      <c r="G12" t="s">
        <v>37</v>
      </c>
      <c r="H12" t="s">
        <v>41</v>
      </c>
      <c r="I12" t="s">
        <v>44</v>
      </c>
      <c r="J12" t="s">
        <v>54</v>
      </c>
      <c r="K12" t="s">
        <v>43</v>
      </c>
    </row>
    <row r="13" spans="1:13" x14ac:dyDescent="0.25">
      <c r="A13">
        <v>0</v>
      </c>
      <c r="B13" s="49">
        <f>-$B$5</f>
        <v>-115000</v>
      </c>
      <c r="C13" s="49">
        <f>$B$5*$B$4</f>
        <v>34500</v>
      </c>
      <c r="D13" s="49">
        <f>B13+C13</f>
        <v>-80500</v>
      </c>
      <c r="G13">
        <v>0</v>
      </c>
      <c r="H13" s="49">
        <f>-B2</f>
        <v>-600000</v>
      </c>
      <c r="K13" s="49">
        <f>SUM(H13:I13)</f>
        <v>-600000</v>
      </c>
      <c r="M13" s="49">
        <f>D13-K13</f>
        <v>519500</v>
      </c>
    </row>
    <row r="14" spans="1:13" x14ac:dyDescent="0.25">
      <c r="A14">
        <v>1</v>
      </c>
      <c r="B14" s="49">
        <f t="shared" ref="B14:B18" si="0">-$B$5</f>
        <v>-115000</v>
      </c>
      <c r="C14" s="49">
        <f t="shared" ref="C14:C18" si="1">$B$5*$B$4</f>
        <v>34500</v>
      </c>
      <c r="D14" s="49">
        <f t="shared" ref="D14:D18" si="2">B14+C14</f>
        <v>-80500</v>
      </c>
      <c r="G14">
        <v>1</v>
      </c>
      <c r="I14" s="49">
        <f>($B$2/$G$19)*$B$4</f>
        <v>30000</v>
      </c>
      <c r="J14" s="49"/>
      <c r="K14" s="49">
        <f t="shared" ref="K14:K18" si="3">SUM(H14:I14)</f>
        <v>30000</v>
      </c>
      <c r="M14" s="49">
        <f t="shared" ref="M14:M19" si="4">D14-K14</f>
        <v>-110500</v>
      </c>
    </row>
    <row r="15" spans="1:13" x14ac:dyDescent="0.25">
      <c r="A15">
        <v>2</v>
      </c>
      <c r="B15" s="49">
        <f t="shared" si="0"/>
        <v>-115000</v>
      </c>
      <c r="C15" s="49">
        <f t="shared" si="1"/>
        <v>34500</v>
      </c>
      <c r="D15" s="49">
        <f t="shared" si="2"/>
        <v>-80500</v>
      </c>
      <c r="G15">
        <v>2</v>
      </c>
      <c r="I15" s="49">
        <f t="shared" ref="I15:I19" si="5">($B$2/$G$19)*$B$4</f>
        <v>30000</v>
      </c>
      <c r="J15" s="49"/>
      <c r="K15" s="49">
        <f t="shared" si="3"/>
        <v>30000</v>
      </c>
      <c r="M15" s="49">
        <f t="shared" si="4"/>
        <v>-110500</v>
      </c>
    </row>
    <row r="16" spans="1:13" x14ac:dyDescent="0.25">
      <c r="A16">
        <v>3</v>
      </c>
      <c r="B16" s="49">
        <f t="shared" si="0"/>
        <v>-115000</v>
      </c>
      <c r="C16" s="49">
        <f t="shared" si="1"/>
        <v>34500</v>
      </c>
      <c r="D16" s="49">
        <f t="shared" si="2"/>
        <v>-80500</v>
      </c>
      <c r="G16">
        <v>3</v>
      </c>
      <c r="I16" s="49">
        <f t="shared" si="5"/>
        <v>30000</v>
      </c>
      <c r="J16" s="49"/>
      <c r="K16" s="49">
        <f t="shared" si="3"/>
        <v>30000</v>
      </c>
      <c r="M16" s="49">
        <f t="shared" si="4"/>
        <v>-110500</v>
      </c>
    </row>
    <row r="17" spans="1:13" x14ac:dyDescent="0.25">
      <c r="A17">
        <v>4</v>
      </c>
      <c r="B17" s="49">
        <f t="shared" si="0"/>
        <v>-115000</v>
      </c>
      <c r="C17" s="49">
        <f t="shared" si="1"/>
        <v>34500</v>
      </c>
      <c r="D17" s="49">
        <f t="shared" si="2"/>
        <v>-80500</v>
      </c>
      <c r="G17">
        <v>4</v>
      </c>
      <c r="I17" s="49">
        <f t="shared" si="5"/>
        <v>30000</v>
      </c>
      <c r="J17" s="49"/>
      <c r="K17" s="49">
        <f t="shared" si="3"/>
        <v>30000</v>
      </c>
      <c r="M17" s="49">
        <f t="shared" si="4"/>
        <v>-110500</v>
      </c>
    </row>
    <row r="18" spans="1:13" x14ac:dyDescent="0.25">
      <c r="A18">
        <v>5</v>
      </c>
      <c r="B18" s="49">
        <f t="shared" si="0"/>
        <v>-115000</v>
      </c>
      <c r="C18" s="49">
        <f t="shared" si="1"/>
        <v>34500</v>
      </c>
      <c r="D18" s="49">
        <f t="shared" si="2"/>
        <v>-80500</v>
      </c>
      <c r="G18">
        <v>5</v>
      </c>
      <c r="I18" s="49">
        <f t="shared" si="5"/>
        <v>30000</v>
      </c>
      <c r="J18" s="49"/>
      <c r="K18" s="49">
        <f t="shared" si="3"/>
        <v>30000</v>
      </c>
      <c r="M18" s="49">
        <f t="shared" si="4"/>
        <v>-110500</v>
      </c>
    </row>
    <row r="19" spans="1:13" x14ac:dyDescent="0.25">
      <c r="A19">
        <v>6</v>
      </c>
      <c r="B19" s="49"/>
      <c r="C19" s="49"/>
      <c r="D19" s="49"/>
      <c r="G19">
        <v>6</v>
      </c>
      <c r="I19" s="49">
        <f t="shared" si="5"/>
        <v>30000</v>
      </c>
      <c r="J19" s="49">
        <f>(B7-B7*B4)*B8</f>
        <v>24500</v>
      </c>
      <c r="K19" s="49">
        <f>SUM(H19:J19)</f>
        <v>54500</v>
      </c>
      <c r="M19" s="49">
        <f t="shared" si="4"/>
        <v>-54500</v>
      </c>
    </row>
    <row r="20" spans="1:13" x14ac:dyDescent="0.25">
      <c r="M20" s="49"/>
    </row>
    <row r="21" spans="1:13" x14ac:dyDescent="0.25">
      <c r="A21" t="s">
        <v>46</v>
      </c>
      <c r="B21" s="50">
        <f>IRR(M13:M19)</f>
        <v>4.9727424075129978E-2</v>
      </c>
    </row>
    <row r="22" spans="1:13" x14ac:dyDescent="0.25">
      <c r="A22" t="s">
        <v>47</v>
      </c>
      <c r="B22" s="50">
        <f>B6*(1-B4)</f>
        <v>3.4999999999999996E-2</v>
      </c>
    </row>
    <row r="24" spans="1:13" x14ac:dyDescent="0.25">
      <c r="A24" t="s">
        <v>48</v>
      </c>
      <c r="B24" s="51" t="str">
        <f>IF(B21&lt;B22,"Lease", "Buy")</f>
        <v>Buy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A953-29AD-4962-8751-4545D4E39BEC}">
  <dimension ref="A1:T26"/>
  <sheetViews>
    <sheetView tabSelected="1" topLeftCell="F1" workbookViewId="0">
      <selection activeCell="Q26" sqref="Q26"/>
    </sheetView>
  </sheetViews>
  <sheetFormatPr defaultRowHeight="13.2" x14ac:dyDescent="0.25"/>
  <cols>
    <col min="1" max="1" width="20.77734375" bestFit="1" customWidth="1"/>
    <col min="4" max="4" width="11.44140625" bestFit="1" customWidth="1"/>
    <col min="8" max="8" width="9.6640625" bestFit="1" customWidth="1"/>
    <col min="10" max="10" width="9.6640625" bestFit="1" customWidth="1"/>
    <col min="11" max="11" width="11.44140625" bestFit="1" customWidth="1"/>
    <col min="16" max="16" width="29.109375" bestFit="1" customWidth="1"/>
    <col min="17" max="17" width="12.5546875" bestFit="1" customWidth="1"/>
    <col min="19" max="19" width="23.88671875" bestFit="1" customWidth="1"/>
    <col min="20" max="20" width="11" bestFit="1" customWidth="1"/>
  </cols>
  <sheetData>
    <row r="1" spans="1:20" x14ac:dyDescent="0.25">
      <c r="A1" t="s">
        <v>68</v>
      </c>
      <c r="P1" t="s">
        <v>69</v>
      </c>
    </row>
    <row r="3" spans="1:20" x14ac:dyDescent="0.25">
      <c r="A3" t="s">
        <v>55</v>
      </c>
      <c r="B3">
        <v>12000000</v>
      </c>
      <c r="P3" t="s">
        <v>55</v>
      </c>
      <c r="Q3">
        <v>12000000</v>
      </c>
    </row>
    <row r="4" spans="1:20" x14ac:dyDescent="0.25">
      <c r="A4" t="s">
        <v>56</v>
      </c>
      <c r="B4">
        <f>B3/G18</f>
        <v>2400000</v>
      </c>
      <c r="P4" t="s">
        <v>73</v>
      </c>
      <c r="Q4">
        <f>Q3/3</f>
        <v>4000000</v>
      </c>
    </row>
    <row r="5" spans="1:20" x14ac:dyDescent="0.25">
      <c r="A5" t="s">
        <v>57</v>
      </c>
      <c r="B5">
        <v>0</v>
      </c>
      <c r="P5" t="s">
        <v>57</v>
      </c>
      <c r="Q5">
        <v>0</v>
      </c>
    </row>
    <row r="6" spans="1:20" x14ac:dyDescent="0.25">
      <c r="A6" t="s">
        <v>59</v>
      </c>
      <c r="B6">
        <v>2300000</v>
      </c>
      <c r="P6" t="s">
        <v>59</v>
      </c>
      <c r="Q6">
        <v>2300000</v>
      </c>
    </row>
    <row r="7" spans="1:20" x14ac:dyDescent="0.25">
      <c r="A7" t="s">
        <v>7</v>
      </c>
      <c r="B7">
        <v>0</v>
      </c>
      <c r="P7" t="s">
        <v>7</v>
      </c>
      <c r="Q7" s="17">
        <v>0.3</v>
      </c>
    </row>
    <row r="8" spans="1:20" x14ac:dyDescent="0.25">
      <c r="A8" t="s">
        <v>58</v>
      </c>
      <c r="B8" s="17">
        <v>0.06</v>
      </c>
      <c r="P8" t="s">
        <v>58</v>
      </c>
      <c r="Q8" s="17">
        <v>0.06</v>
      </c>
    </row>
    <row r="11" spans="1:20" x14ac:dyDescent="0.25">
      <c r="C11" t="s">
        <v>38</v>
      </c>
      <c r="I11" t="s">
        <v>62</v>
      </c>
    </row>
    <row r="12" spans="1:20" x14ac:dyDescent="0.25">
      <c r="A12" t="s">
        <v>3</v>
      </c>
      <c r="B12" t="s">
        <v>60</v>
      </c>
      <c r="C12" t="s">
        <v>50</v>
      </c>
      <c r="D12" t="s">
        <v>61</v>
      </c>
      <c r="G12" t="s">
        <v>3</v>
      </c>
      <c r="H12" t="s">
        <v>60</v>
      </c>
      <c r="I12" t="s">
        <v>50</v>
      </c>
      <c r="J12" t="s">
        <v>63</v>
      </c>
      <c r="K12" t="s">
        <v>61</v>
      </c>
      <c r="M12" t="s">
        <v>64</v>
      </c>
      <c r="P12" t="s">
        <v>3</v>
      </c>
      <c r="Q12" t="s">
        <v>70</v>
      </c>
      <c r="R12" t="s">
        <v>71</v>
      </c>
      <c r="S12" t="s">
        <v>72</v>
      </c>
      <c r="T12" t="s">
        <v>74</v>
      </c>
    </row>
    <row r="13" spans="1:20" x14ac:dyDescent="0.25">
      <c r="A13">
        <v>0</v>
      </c>
      <c r="B13">
        <f>-$B$6</f>
        <v>-2300000</v>
      </c>
      <c r="C13">
        <f>$B$7*$B$6</f>
        <v>0</v>
      </c>
      <c r="D13">
        <f>B13+C13</f>
        <v>-2300000</v>
      </c>
      <c r="G13">
        <v>0</v>
      </c>
      <c r="H13">
        <f>-B3</f>
        <v>-12000000</v>
      </c>
      <c r="K13">
        <f>SUM(H13:J13)</f>
        <v>-12000000</v>
      </c>
      <c r="M13">
        <f>D13-K13</f>
        <v>9700000</v>
      </c>
      <c r="P13">
        <v>0</v>
      </c>
      <c r="Q13">
        <f>-Q3</f>
        <v>-12000000</v>
      </c>
      <c r="R13">
        <f>$Q$6*(1-$Q$7)</f>
        <v>1610000</v>
      </c>
      <c r="T13">
        <f>SUM(Q13:S13)</f>
        <v>-10390000</v>
      </c>
    </row>
    <row r="14" spans="1:20" x14ac:dyDescent="0.25">
      <c r="A14">
        <v>1</v>
      </c>
      <c r="B14">
        <f t="shared" ref="B14:B18" si="0">-$B$6</f>
        <v>-2300000</v>
      </c>
      <c r="C14">
        <f t="shared" ref="C14:C18" si="1">$B$7*$B$6</f>
        <v>0</v>
      </c>
      <c r="D14">
        <f t="shared" ref="D14:D18" si="2">B14+C14</f>
        <v>-2300000</v>
      </c>
      <c r="G14">
        <v>1</v>
      </c>
      <c r="I14">
        <f>$B$4*$B$7</f>
        <v>0</v>
      </c>
      <c r="K14">
        <f t="shared" ref="K14:K19" si="3">SUM(H14:J14)</f>
        <v>0</v>
      </c>
      <c r="M14">
        <f t="shared" ref="M14:M19" si="4">D14-K14</f>
        <v>-2300000</v>
      </c>
      <c r="P14">
        <v>1</v>
      </c>
      <c r="R14">
        <f>$Q$6*(1-$Q$7)</f>
        <v>1610000</v>
      </c>
      <c r="S14">
        <f>$Q$4*$Q$7</f>
        <v>1200000</v>
      </c>
      <c r="T14">
        <f t="shared" ref="T14:T18" si="5">SUM(Q14:S14)</f>
        <v>2810000</v>
      </c>
    </row>
    <row r="15" spans="1:20" x14ac:dyDescent="0.25">
      <c r="A15">
        <v>2</v>
      </c>
      <c r="B15">
        <f t="shared" si="0"/>
        <v>-2300000</v>
      </c>
      <c r="C15">
        <f t="shared" si="1"/>
        <v>0</v>
      </c>
      <c r="D15">
        <f t="shared" si="2"/>
        <v>-2300000</v>
      </c>
      <c r="G15">
        <v>2</v>
      </c>
      <c r="I15">
        <f t="shared" ref="I15:I19" si="6">$B$4*$B$7</f>
        <v>0</v>
      </c>
      <c r="K15">
        <f t="shared" si="3"/>
        <v>0</v>
      </c>
      <c r="M15">
        <f t="shared" si="4"/>
        <v>-2300000</v>
      </c>
      <c r="P15">
        <v>2</v>
      </c>
      <c r="R15">
        <f t="shared" ref="R15:R18" si="7">$Q$6*(1-$Q$7)</f>
        <v>1610000</v>
      </c>
      <c r="S15">
        <f t="shared" ref="S15:S16" si="8">$Q$4*$Q$7</f>
        <v>1200000</v>
      </c>
      <c r="T15">
        <f t="shared" si="5"/>
        <v>2810000</v>
      </c>
    </row>
    <row r="16" spans="1:20" x14ac:dyDescent="0.25">
      <c r="A16">
        <v>3</v>
      </c>
      <c r="B16">
        <f t="shared" si="0"/>
        <v>-2300000</v>
      </c>
      <c r="C16">
        <f t="shared" si="1"/>
        <v>0</v>
      </c>
      <c r="D16">
        <f t="shared" si="2"/>
        <v>-2300000</v>
      </c>
      <c r="G16">
        <v>3</v>
      </c>
      <c r="I16">
        <f t="shared" si="6"/>
        <v>0</v>
      </c>
      <c r="K16">
        <f t="shared" si="3"/>
        <v>0</v>
      </c>
      <c r="M16">
        <f t="shared" si="4"/>
        <v>-2300000</v>
      </c>
      <c r="P16">
        <v>3</v>
      </c>
      <c r="R16">
        <f t="shared" si="7"/>
        <v>1610000</v>
      </c>
      <c r="S16">
        <f t="shared" si="8"/>
        <v>1200000</v>
      </c>
      <c r="T16">
        <f t="shared" si="5"/>
        <v>2810000</v>
      </c>
    </row>
    <row r="17" spans="1:20" x14ac:dyDescent="0.25">
      <c r="A17">
        <v>4</v>
      </c>
      <c r="B17">
        <f t="shared" si="0"/>
        <v>-2300000</v>
      </c>
      <c r="C17">
        <f t="shared" si="1"/>
        <v>0</v>
      </c>
      <c r="D17">
        <f t="shared" si="2"/>
        <v>-2300000</v>
      </c>
      <c r="G17">
        <v>4</v>
      </c>
      <c r="I17">
        <f t="shared" si="6"/>
        <v>0</v>
      </c>
      <c r="K17">
        <f t="shared" si="3"/>
        <v>0</v>
      </c>
      <c r="M17">
        <f t="shared" si="4"/>
        <v>-2300000</v>
      </c>
      <c r="P17">
        <v>4</v>
      </c>
      <c r="R17">
        <f t="shared" si="7"/>
        <v>1610000</v>
      </c>
      <c r="T17">
        <f t="shared" si="5"/>
        <v>1610000</v>
      </c>
    </row>
    <row r="18" spans="1:20" x14ac:dyDescent="0.25">
      <c r="A18">
        <v>5</v>
      </c>
      <c r="B18">
        <f t="shared" si="0"/>
        <v>-2300000</v>
      </c>
      <c r="C18">
        <f t="shared" si="1"/>
        <v>0</v>
      </c>
      <c r="D18">
        <f t="shared" si="2"/>
        <v>-2300000</v>
      </c>
      <c r="G18">
        <v>5</v>
      </c>
      <c r="I18">
        <f t="shared" si="6"/>
        <v>0</v>
      </c>
      <c r="K18">
        <f t="shared" si="3"/>
        <v>0</v>
      </c>
      <c r="M18">
        <f t="shared" si="4"/>
        <v>-2300000</v>
      </c>
      <c r="P18">
        <v>5</v>
      </c>
      <c r="R18">
        <f t="shared" si="7"/>
        <v>1610000</v>
      </c>
      <c r="T18">
        <f t="shared" si="5"/>
        <v>1610000</v>
      </c>
    </row>
    <row r="23" spans="1:20" x14ac:dyDescent="0.25">
      <c r="A23" t="s">
        <v>65</v>
      </c>
      <c r="B23" s="50">
        <f>IRR(M13:M19)</f>
        <v>5.9561688558670722E-2</v>
      </c>
      <c r="P23" t="s">
        <v>65</v>
      </c>
      <c r="Q23" s="50">
        <f>IRR(T13:T18)</f>
        <v>4.4099526640061226E-2</v>
      </c>
    </row>
    <row r="24" spans="1:20" x14ac:dyDescent="0.25">
      <c r="A24" t="s">
        <v>66</v>
      </c>
      <c r="B24" s="50">
        <f>B8*(1-B7)</f>
        <v>0.06</v>
      </c>
      <c r="P24" t="s">
        <v>66</v>
      </c>
      <c r="Q24" s="50">
        <f>Q8*(1-Q7)</f>
        <v>4.1999999999999996E-2</v>
      </c>
    </row>
    <row r="26" spans="1:20" x14ac:dyDescent="0.25">
      <c r="A26" t="s">
        <v>48</v>
      </c>
      <c r="B26" s="56" t="str">
        <f>IF(B23&lt;B24,"lease", "buy")</f>
        <v>lease</v>
      </c>
      <c r="P26" t="s">
        <v>48</v>
      </c>
      <c r="Q26" s="56" t="str">
        <f>IF(Q23&gt;Q24,"lease", "buy")</f>
        <v>lease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Lease Vs Buy</vt:lpstr>
      <vt:lpstr>Problem 2</vt:lpstr>
      <vt:lpstr>Equiv. loan method- lessee POV</vt:lpstr>
      <vt:lpstr>The Lessor's Problem</vt:lpstr>
      <vt:lpstr>Lease- Salvage value</vt:lpstr>
      <vt:lpstr>Greenville 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KAUSHIKI choubey</dc:creator>
  <cp:lastModifiedBy>KAUSHIKI choubey</cp:lastModifiedBy>
  <dcterms:created xsi:type="dcterms:W3CDTF">2025-02-28T05:22:27Z</dcterms:created>
  <dcterms:modified xsi:type="dcterms:W3CDTF">2025-05-14T13:00:17Z</dcterms:modified>
</cp:coreProperties>
</file>