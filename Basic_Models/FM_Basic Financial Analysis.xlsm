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ushiki choubey\Desktop\Badri Sir2\FM\Excel Sheets\"/>
    </mc:Choice>
  </mc:AlternateContent>
  <xr:revisionPtr revIDLastSave="0" documentId="13_ncr:1_{9A5424A3-4F19-4DCA-8F61-3EB767994363}" xr6:coauthVersionLast="47" xr6:coauthVersionMax="47" xr10:uidLastSave="{00000000-0000-0000-0000-000000000000}"/>
  <bookViews>
    <workbookView xWindow="-108" yWindow="-108" windowWidth="23256" windowHeight="12456" firstSheet="3" activeTab="3" xr2:uid="{67E2FF48-F27A-480C-A2B7-2E1C7081AFE9}"/>
  </bookViews>
  <sheets>
    <sheet name="Flat Payment Schedule" sheetId="2" r:id="rId1"/>
    <sheet name="Retirement" sheetId="5" r:id="rId2"/>
    <sheet name="Retirement Solver" sheetId="1" r:id="rId3"/>
    <sheet name="Retirement Fin Formulas" sheetId="7" r:id="rId4"/>
    <sheet name="Multiple Compounding Periods" sheetId="8" r:id="rId5"/>
    <sheet name="Continuous Discounting" sheetId="9" r:id="rId6"/>
  </sheets>
  <functionGroups builtInGroupCount="19"/>
  <definedNames>
    <definedName name="solver_adj" localSheetId="1" hidden="1">Retirement!$B$3</definedName>
    <definedName name="solver_adj" localSheetId="2" hidden="1">'Retirement Solver'!$B$3</definedName>
    <definedName name="solver_cvg" localSheetId="1" hidden="1">0.0001</definedName>
    <definedName name="solver_cvg" localSheetId="2" hidden="1">0.0001</definedName>
    <definedName name="solver_drv" localSheetId="1" hidden="1">2</definedName>
    <definedName name="solver_drv" localSheetId="2" hidden="1">1</definedName>
    <definedName name="solver_eng" localSheetId="1" hidden="1">1</definedName>
    <definedName name="solver_eng" localSheetId="2" hidden="1">1</definedName>
    <definedName name="solver_est" localSheetId="1" hidden="1">1</definedName>
    <definedName name="solver_est" localSheetId="2" hidden="1">1</definedName>
    <definedName name="solver_itr" localSheetId="1" hidden="1">2147483647</definedName>
    <definedName name="solver_itr" localSheetId="2" hidden="1">2147483647</definedName>
    <definedName name="solver_mip" localSheetId="1" hidden="1">2147483647</definedName>
    <definedName name="solver_mip" localSheetId="2" hidden="1">2147483647</definedName>
    <definedName name="solver_mni" localSheetId="1" hidden="1">30</definedName>
    <definedName name="solver_mni" localSheetId="2" hidden="1">30</definedName>
    <definedName name="solver_mrt" localSheetId="1" hidden="1">0.075</definedName>
    <definedName name="solver_mrt" localSheetId="2" hidden="1">0.075</definedName>
    <definedName name="solver_msl" localSheetId="1" hidden="1">2</definedName>
    <definedName name="solver_msl" localSheetId="2" hidden="1">2</definedName>
    <definedName name="solver_neg" localSheetId="1" hidden="1">2</definedName>
    <definedName name="solver_neg" localSheetId="2" hidden="1">1</definedName>
    <definedName name="solver_nod" localSheetId="1" hidden="1">2147483647</definedName>
    <definedName name="solver_nod" localSheetId="2" hidden="1">2147483647</definedName>
    <definedName name="solver_num" localSheetId="1" hidden="1">0</definedName>
    <definedName name="solver_num" localSheetId="2" hidden="1">0</definedName>
    <definedName name="solver_nwt" localSheetId="1" hidden="1">1</definedName>
    <definedName name="solver_nwt" localSheetId="2" hidden="1">1</definedName>
    <definedName name="solver_opt" localSheetId="1" hidden="1">Retirement!$E$19</definedName>
    <definedName name="solver_opt" localSheetId="2" hidden="1">'Retirement Solver'!$E$19</definedName>
    <definedName name="solver_pre" localSheetId="1" hidden="1">0.000001</definedName>
    <definedName name="solver_pre" localSheetId="2" hidden="1">0.000001</definedName>
    <definedName name="solver_rbv" localSheetId="1" hidden="1">2</definedName>
    <definedName name="solver_rbv" localSheetId="2" hidden="1">1</definedName>
    <definedName name="solver_rlx" localSheetId="1" hidden="1">2</definedName>
    <definedName name="solver_rlx" localSheetId="2" hidden="1">2</definedName>
    <definedName name="solver_rsd" localSheetId="1" hidden="1">0</definedName>
    <definedName name="solver_rsd" localSheetId="2" hidden="1">0</definedName>
    <definedName name="solver_scl" localSheetId="1" hidden="1">2</definedName>
    <definedName name="solver_scl" localSheetId="2" hidden="1">1</definedName>
    <definedName name="solver_sho" localSheetId="1" hidden="1">2</definedName>
    <definedName name="solver_sho" localSheetId="2" hidden="1">2</definedName>
    <definedName name="solver_ssz" localSheetId="1" hidden="1">100</definedName>
    <definedName name="solver_ssz" localSheetId="2" hidden="1">100</definedName>
    <definedName name="solver_tim" localSheetId="1" hidden="1">2147483647</definedName>
    <definedName name="solver_tim" localSheetId="2" hidden="1">2147483647</definedName>
    <definedName name="solver_tol" localSheetId="1" hidden="1">0.01</definedName>
    <definedName name="solver_tol" localSheetId="2" hidden="1">0.01</definedName>
    <definedName name="solver_typ" localSheetId="1" hidden="1">3</definedName>
    <definedName name="solver_typ" localSheetId="2" hidden="1">3</definedName>
    <definedName name="solver_val" localSheetId="1" hidden="1">0</definedName>
    <definedName name="solver_val" localSheetId="2" hidden="1">0</definedName>
    <definedName name="solver_ver" localSheetId="1" hidden="1">3</definedName>
    <definedName name="solver_ver" localSheetId="2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" i="7" l="1"/>
  <c r="D7" i="7"/>
  <c r="D6" i="7"/>
  <c r="C15" i="2" l="1"/>
  <c r="D15" i="2"/>
  <c r="E15" i="2"/>
  <c r="B13" i="2"/>
  <c r="B12" i="2"/>
  <c r="E11" i="2"/>
  <c r="E13" i="2"/>
  <c r="B14" i="2" s="1"/>
  <c r="D14" i="2" s="1"/>
  <c r="E14" i="2" s="1"/>
  <c r="D11" i="2"/>
  <c r="D12" i="2"/>
  <c r="E12" i="2" s="1"/>
  <c r="D13" i="2"/>
  <c r="B11" i="2"/>
  <c r="E10" i="2"/>
  <c r="D10" i="2"/>
  <c r="D9" i="2"/>
  <c r="E9" i="2"/>
  <c r="B10" i="2" s="1"/>
  <c r="C14" i="2"/>
  <c r="C10" i="2"/>
  <c r="C11" i="2"/>
  <c r="C12" i="2"/>
  <c r="C13" i="2"/>
  <c r="C9" i="2"/>
  <c r="B5" i="2"/>
  <c r="B16" i="9" l="1"/>
  <c r="C6" i="9"/>
  <c r="C7" i="9"/>
  <c r="C8" i="9"/>
  <c r="C9" i="9"/>
  <c r="C10" i="9"/>
  <c r="C11" i="9"/>
  <c r="C12" i="9"/>
  <c r="C13" i="9"/>
  <c r="C14" i="9"/>
  <c r="C5" i="9"/>
  <c r="B12" i="8"/>
  <c r="B13" i="8"/>
  <c r="B14" i="8"/>
  <c r="B15" i="8"/>
  <c r="B16" i="8"/>
  <c r="B17" i="8"/>
  <c r="B18" i="8"/>
  <c r="B19" i="8"/>
  <c r="B20" i="8"/>
  <c r="B21" i="8"/>
  <c r="B11" i="8"/>
  <c r="B7" i="8"/>
  <c r="B5" i="8"/>
  <c r="B6" i="8" s="1"/>
  <c r="B6" i="7"/>
  <c r="B7" i="7"/>
  <c r="C19" i="1" l="1"/>
  <c r="C18" i="1"/>
  <c r="C17" i="1"/>
  <c r="C16" i="1"/>
  <c r="C15" i="1"/>
  <c r="C14" i="1"/>
  <c r="C13" i="1"/>
  <c r="C9" i="1"/>
  <c r="C11" i="1"/>
  <c r="C14" i="5"/>
  <c r="C15" i="5"/>
  <c r="C16" i="5"/>
  <c r="C17" i="5"/>
  <c r="C18" i="5"/>
  <c r="C19" i="5"/>
  <c r="C13" i="5"/>
  <c r="C8" i="5"/>
  <c r="C9" i="5"/>
  <c r="C10" i="5"/>
  <c r="C11" i="5"/>
  <c r="C7" i="5"/>
  <c r="D7" i="5" s="1"/>
  <c r="E7" i="5" s="1"/>
  <c r="B8" i="5" s="1"/>
  <c r="D8" i="5" s="1"/>
  <c r="E8" i="5" l="1"/>
  <c r="B9" i="5" s="1"/>
  <c r="D9" i="5" s="1"/>
  <c r="C7" i="1"/>
  <c r="D7" i="1" s="1"/>
  <c r="E7" i="1" s="1"/>
  <c r="B8" i="1" s="1"/>
  <c r="C10" i="1"/>
  <c r="C8" i="1"/>
  <c r="E9" i="5" l="1"/>
  <c r="B10" i="5" s="1"/>
  <c r="D10" i="5" s="1"/>
  <c r="D8" i="1"/>
  <c r="E8" i="1" s="1"/>
  <c r="B9" i="1" s="1"/>
  <c r="D9" i="1" s="1"/>
  <c r="E9" i="1" s="1"/>
  <c r="B10" i="1" s="1"/>
  <c r="D10" i="1" s="1"/>
  <c r="E10" i="1" s="1"/>
  <c r="B11" i="1" s="1"/>
  <c r="D11" i="1" s="1"/>
  <c r="E11" i="1" s="1"/>
  <c r="B12" i="1" s="1"/>
  <c r="D12" i="1" s="1"/>
  <c r="E12" i="1" s="1"/>
  <c r="B13" i="1" s="1"/>
  <c r="D13" i="1" s="1"/>
  <c r="E13" i="1" s="1"/>
  <c r="B14" i="1" s="1"/>
  <c r="D14" i="1" s="1"/>
  <c r="E14" i="1" s="1"/>
  <c r="B15" i="1" s="1"/>
  <c r="D15" i="1" s="1"/>
  <c r="E15" i="1" s="1"/>
  <c r="B16" i="1" s="1"/>
  <c r="D16" i="1" s="1"/>
  <c r="E16" i="1" s="1"/>
  <c r="B17" i="1" s="1"/>
  <c r="D17" i="1" s="1"/>
  <c r="E17" i="1" s="1"/>
  <c r="B18" i="1" s="1"/>
  <c r="D18" i="1" s="1"/>
  <c r="E18" i="1" s="1"/>
  <c r="B19" i="1" s="1"/>
  <c r="D19" i="1" s="1"/>
  <c r="E19" i="1" s="1"/>
  <c r="E10" i="5" l="1"/>
  <c r="B11" i="5" s="1"/>
  <c r="D11" i="5" l="1"/>
  <c r="E11" i="5" s="1"/>
  <c r="B12" i="5" s="1"/>
  <c r="D12" i="5" l="1"/>
  <c r="E12" i="5" s="1"/>
  <c r="B13" i="5" s="1"/>
  <c r="D13" i="5" s="1"/>
  <c r="E13" i="5" s="1"/>
  <c r="B14" i="5" l="1"/>
  <c r="D14" i="5" l="1"/>
  <c r="E14" i="5" s="1"/>
  <c r="B15" i="5" l="1"/>
  <c r="D15" i="5" l="1"/>
  <c r="E15" i="5" s="1"/>
  <c r="B16" i="5" l="1"/>
  <c r="D16" i="5" l="1"/>
  <c r="E16" i="5" s="1"/>
  <c r="B17" i="5" l="1"/>
  <c r="D17" i="5" l="1"/>
  <c r="E17" i="5" s="1"/>
  <c r="B18" i="5" l="1"/>
  <c r="D18" i="5" l="1"/>
  <c r="E18" i="5" l="1"/>
  <c r="B19" i="5" s="1"/>
  <c r="D19" i="5" l="1"/>
  <c r="E19" i="5" s="1"/>
</calcChain>
</file>

<file path=xl/sharedStrings.xml><?xml version="1.0" encoding="utf-8"?>
<sst xmlns="http://schemas.openxmlformats.org/spreadsheetml/2006/main" count="50" uniqueCount="38">
  <si>
    <t>Year</t>
  </si>
  <si>
    <t>Account balance at the beginning of the year</t>
  </si>
  <si>
    <t>Interest</t>
  </si>
  <si>
    <t>Annual Deposit</t>
  </si>
  <si>
    <t>Annual Retirement Withdrawal</t>
  </si>
  <si>
    <t>Deposit at the beginning of the year</t>
  </si>
  <si>
    <t>Interest earned during year</t>
  </si>
  <si>
    <t>Total in account, end year</t>
  </si>
  <si>
    <r>
      <t xml:space="preserve">A Retirement Problem- Basics </t>
    </r>
    <r>
      <rPr>
        <sz val="12"/>
        <color rgb="FF0070C0"/>
        <rFont val="Times New Roman"/>
        <family val="1"/>
      </rPr>
      <t>(Using Goal Seek)</t>
    </r>
  </si>
  <si>
    <t>A Retirement Problem- Using Financial Formulas</t>
  </si>
  <si>
    <t>Annual Retirment Withdrawal</t>
  </si>
  <si>
    <t>Years of Withdrawal</t>
  </si>
  <si>
    <t>Years of Deposit</t>
  </si>
  <si>
    <t>Present Value of Withdrawals</t>
  </si>
  <si>
    <t>Annual Desposit</t>
  </si>
  <si>
    <t>Check</t>
  </si>
  <si>
    <t>Initial Deposit</t>
  </si>
  <si>
    <t>No. of Compounding periods per year</t>
  </si>
  <si>
    <t>Interest per compounding period</t>
  </si>
  <si>
    <t>Accretion in one year</t>
  </si>
  <si>
    <t>Continous Compounding with Exp</t>
  </si>
  <si>
    <t>Interest rate</t>
  </si>
  <si>
    <t>Compounding periods per year</t>
  </si>
  <si>
    <t>End year accretion</t>
  </si>
  <si>
    <t>Multiple Compounding Periods</t>
  </si>
  <si>
    <t>Continuous Discounting</t>
  </si>
  <si>
    <t xml:space="preserve">Year </t>
  </si>
  <si>
    <t>Cash flow</t>
  </si>
  <si>
    <t>Continously discounted PV</t>
  </si>
  <si>
    <t>Present Value</t>
  </si>
  <si>
    <t xml:space="preserve">Loan Principal </t>
  </si>
  <si>
    <t>Interest Rate</t>
  </si>
  <si>
    <t>Loan Term (Years)</t>
  </si>
  <si>
    <t>PMT</t>
  </si>
  <si>
    <t>Years</t>
  </si>
  <si>
    <t>Amortizarion</t>
  </si>
  <si>
    <t>Principal at the beginning of the year</t>
  </si>
  <si>
    <t>Principal Repayment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</si>
</sst>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₹&quot;\ #,##0.00;[Red]&quot;₹&quot;\ \-#,##0.00"/>
    <numFmt numFmtId="164" formatCode="0.0000"/>
  </numFmts>
  <fonts count="11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2"/>
      <color rgb="FF0070C0"/>
      <name val="Times New Roman"/>
      <family val="1"/>
    </font>
    <font>
      <sz val="12"/>
      <color rgb="FF0070C0"/>
      <name val="Times New Roman"/>
      <family val="1"/>
    </font>
    <font>
      <b/>
      <sz val="12"/>
      <color theme="8" tint="-0.249977111117893"/>
      <name val="Times New Roman"/>
      <family val="1"/>
    </font>
    <font>
      <b/>
      <sz val="11"/>
      <color theme="8" tint="-0.249977111117893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8" tint="-0.499984740745262"/>
      <name val="Times New Roman"/>
      <family val="1"/>
    </font>
    <font>
      <b/>
      <sz val="12"/>
      <color theme="8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9" fontId="1" fillId="0" borderId="1" xfId="0" applyNumberFormat="1" applyFont="1" applyBorder="1"/>
    <xf numFmtId="2" fontId="1" fillId="0" borderId="1" xfId="0" applyNumberFormat="1" applyFont="1" applyBorder="1"/>
    <xf numFmtId="0" fontId="1" fillId="0" borderId="1" xfId="0" applyFont="1" applyBorder="1" applyAlignment="1">
      <alignment horizontal="center"/>
    </xf>
    <xf numFmtId="2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9" fontId="0" fillId="0" borderId="0" xfId="0" applyNumberFormat="1"/>
    <xf numFmtId="2" fontId="0" fillId="0" borderId="0" xfId="0" applyNumberFormat="1"/>
    <xf numFmtId="0" fontId="0" fillId="3" borderId="0" xfId="0" applyFill="1"/>
    <xf numFmtId="0" fontId="6" fillId="3" borderId="0" xfId="0" applyFont="1" applyFill="1"/>
    <xf numFmtId="8" fontId="0" fillId="0" borderId="0" xfId="0" applyNumberFormat="1"/>
    <xf numFmtId="0" fontId="7" fillId="0" borderId="0" xfId="0" applyFont="1"/>
    <xf numFmtId="0" fontId="7" fillId="2" borderId="1" xfId="0" applyFont="1" applyFill="1" applyBorder="1"/>
    <xf numFmtId="0" fontId="7" fillId="0" borderId="1" xfId="0" applyFont="1" applyBorder="1"/>
    <xf numFmtId="9" fontId="7" fillId="0" borderId="1" xfId="0" applyNumberFormat="1" applyFont="1" applyBorder="1"/>
    <xf numFmtId="10" fontId="7" fillId="0" borderId="1" xfId="0" applyNumberFormat="1" applyFont="1" applyBorder="1"/>
    <xf numFmtId="164" fontId="7" fillId="0" borderId="1" xfId="0" applyNumberFormat="1" applyFont="1" applyBorder="1"/>
    <xf numFmtId="0" fontId="0" fillId="2" borderId="1" xfId="0" applyFill="1" applyBorder="1"/>
    <xf numFmtId="9" fontId="0" fillId="0" borderId="1" xfId="0" applyNumberFormat="1" applyBorder="1"/>
    <xf numFmtId="0" fontId="0" fillId="0" borderId="1" xfId="0" applyBorder="1"/>
    <xf numFmtId="8" fontId="0" fillId="0" borderId="1" xfId="0" applyNumberFormat="1" applyBorder="1"/>
    <xf numFmtId="0" fontId="0" fillId="3" borderId="1" xfId="0" applyFill="1" applyBorder="1"/>
    <xf numFmtId="2" fontId="0" fillId="0" borderId="1" xfId="0" applyNumberFormat="1" applyBorder="1"/>
    <xf numFmtId="8" fontId="10" fillId="0" borderId="0" xfId="0" applyNumberFormat="1" applyFont="1"/>
    <xf numFmtId="0" fontId="10" fillId="0" borderId="0" xfId="0" applyFont="1"/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9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175260</xdr:colOff>
      <xdr:row>1</xdr:row>
      <xdr:rowOff>76200</xdr:rowOff>
    </xdr:from>
    <xdr:to>
      <xdr:col>11</xdr:col>
      <xdr:colOff>266700</xdr:colOff>
      <xdr:row>6</xdr:row>
      <xdr:rowOff>160020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45BBE89-0543-A8F6-CA4D-EA305B86618B}"/>
            </a:ext>
          </a:extLst>
        </xdr:cNvPr>
        <xdr:cNvSpPr txBox="1"/>
      </xdr:nvSpPr>
      <xdr:spPr>
        <a:xfrm>
          <a:off x="11003280" y="274320"/>
          <a:ext cx="2529840" cy="99822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/>
            <a:t>We see that at the end,</a:t>
          </a:r>
          <a:r>
            <a:rPr lang="en-IN" sz="1100" baseline="0"/>
            <a:t> 13th year, still much amount is left in the account. So we need to set the deposits ( for 5 years) as such that at the end, Account balance is 0.</a:t>
          </a:r>
          <a:endParaRPr lang="en-IN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FEED9-04D0-4CF1-8969-806584532DAA}">
  <sheetPr codeName="Sheet1"/>
  <dimension ref="A2:E16"/>
  <sheetViews>
    <sheetView workbookViewId="0">
      <selection activeCell="B10" sqref="B10"/>
    </sheetView>
  </sheetViews>
  <sheetFormatPr defaultRowHeight="14.4" x14ac:dyDescent="0.3"/>
  <cols>
    <col min="1" max="1" width="15.77734375" bestFit="1" customWidth="1"/>
    <col min="2" max="2" width="31.109375" bestFit="1" customWidth="1"/>
    <col min="3" max="3" width="11.5546875" bestFit="1" customWidth="1"/>
    <col min="5" max="5" width="17.77734375" bestFit="1" customWidth="1"/>
  </cols>
  <sheetData>
    <row r="2" spans="1:5" x14ac:dyDescent="0.3">
      <c r="A2" s="24" t="s">
        <v>30</v>
      </c>
      <c r="B2" s="25">
        <v>10000</v>
      </c>
    </row>
    <row r="3" spans="1:5" x14ac:dyDescent="0.3">
      <c r="A3" s="24" t="s">
        <v>31</v>
      </c>
      <c r="B3" s="22">
        <v>7.0000000000000007E-2</v>
      </c>
    </row>
    <row r="4" spans="1:5" x14ac:dyDescent="0.3">
      <c r="A4" s="24" t="s">
        <v>32</v>
      </c>
      <c r="B4" s="22">
        <v>6</v>
      </c>
    </row>
    <row r="5" spans="1:5" x14ac:dyDescent="0.3">
      <c r="A5" s="24" t="s">
        <v>33</v>
      </c>
      <c r="B5" s="23">
        <f>PMT(B3,B4,-B2)</f>
        <v>2097.9579975832812</v>
      </c>
    </row>
    <row r="8" spans="1:5" x14ac:dyDescent="0.3">
      <c r="A8" s="11" t="s">
        <v>34</v>
      </c>
      <c r="B8" t="s">
        <v>36</v>
      </c>
      <c r="C8" t="s">
        <v>35</v>
      </c>
      <c r="D8" t="s">
        <v>2</v>
      </c>
      <c r="E8" t="s">
        <v>37</v>
      </c>
    </row>
    <row r="9" spans="1:5" x14ac:dyDescent="0.3">
      <c r="A9">
        <v>1</v>
      </c>
      <c r="B9" s="10">
        <v>10000</v>
      </c>
      <c r="C9" s="13">
        <f>$B$5</f>
        <v>2097.9579975832812</v>
      </c>
      <c r="D9">
        <f>B9*$B$3</f>
        <v>700.00000000000011</v>
      </c>
      <c r="E9" s="13">
        <f>C9-D9</f>
        <v>1397.9579975832812</v>
      </c>
    </row>
    <row r="10" spans="1:5" x14ac:dyDescent="0.3">
      <c r="A10">
        <v>2</v>
      </c>
      <c r="B10" s="13">
        <f>B9-E9</f>
        <v>8602.0420024167179</v>
      </c>
      <c r="C10" s="13">
        <f t="shared" ref="C10:C13" si="0">$B$5</f>
        <v>2097.9579975832812</v>
      </c>
      <c r="D10">
        <f>B10*$B$3</f>
        <v>602.14294016917029</v>
      </c>
      <c r="E10" s="13">
        <f>C10-D10</f>
        <v>1495.8150574141109</v>
      </c>
    </row>
    <row r="11" spans="1:5" x14ac:dyDescent="0.3">
      <c r="A11">
        <v>3</v>
      </c>
      <c r="B11" s="13">
        <f>B10-E10</f>
        <v>7106.226945002607</v>
      </c>
      <c r="C11" s="13">
        <f t="shared" si="0"/>
        <v>2097.9579975832812</v>
      </c>
      <c r="D11">
        <f t="shared" ref="D11:D14" si="1">B11*$B$3</f>
        <v>497.43588615018251</v>
      </c>
      <c r="E11" s="13">
        <f t="shared" ref="E11:E14" si="2">C11-D11</f>
        <v>1600.5221114330986</v>
      </c>
    </row>
    <row r="12" spans="1:5" x14ac:dyDescent="0.3">
      <c r="A12">
        <v>4</v>
      </c>
      <c r="B12" s="13">
        <f>B11-E11</f>
        <v>5505.7048335695081</v>
      </c>
      <c r="C12" s="13">
        <f t="shared" si="0"/>
        <v>2097.9579975832812</v>
      </c>
      <c r="D12">
        <f t="shared" si="1"/>
        <v>385.39933834986562</v>
      </c>
      <c r="E12" s="13">
        <f t="shared" si="2"/>
        <v>1712.5586592334157</v>
      </c>
    </row>
    <row r="13" spans="1:5" x14ac:dyDescent="0.3">
      <c r="A13">
        <v>5</v>
      </c>
      <c r="B13" s="13">
        <f t="shared" ref="B13:B14" si="3">B12-E12</f>
        <v>3793.1461743360924</v>
      </c>
      <c r="C13" s="13">
        <f t="shared" si="0"/>
        <v>2097.9579975832812</v>
      </c>
      <c r="D13">
        <f t="shared" si="1"/>
        <v>265.52023220352652</v>
      </c>
      <c r="E13" s="13">
        <f t="shared" si="2"/>
        <v>1832.4377653797546</v>
      </c>
    </row>
    <row r="14" spans="1:5" x14ac:dyDescent="0.3">
      <c r="A14">
        <v>6</v>
      </c>
      <c r="B14" s="13">
        <f t="shared" si="3"/>
        <v>1960.7084089563377</v>
      </c>
      <c r="C14" s="13">
        <f>$B$5</f>
        <v>2097.9579975832812</v>
      </c>
      <c r="D14">
        <f t="shared" si="1"/>
        <v>137.24958862694365</v>
      </c>
      <c r="E14" s="13">
        <f t="shared" si="2"/>
        <v>1960.7084089563375</v>
      </c>
    </row>
    <row r="15" spans="1:5" x14ac:dyDescent="0.3">
      <c r="C15" s="26">
        <f>SUM(C9:C14)</f>
        <v>12587.747985499689</v>
      </c>
      <c r="D15" s="27">
        <f>SUM(D9:D14)</f>
        <v>2587.7479854996886</v>
      </c>
      <c r="E15" s="26">
        <f>SUM(E9:E14)</f>
        <v>9999.9999999999982</v>
      </c>
    </row>
    <row r="16" spans="1:5" x14ac:dyDescent="0.3">
      <c r="C16" s="1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6FAE8-94C7-43CF-86FB-578D927C30A2}">
  <sheetPr codeName="Sheet4"/>
  <dimension ref="A1:G26"/>
  <sheetViews>
    <sheetView workbookViewId="0">
      <selection activeCell="B4" sqref="B4"/>
    </sheetView>
  </sheetViews>
  <sheetFormatPr defaultRowHeight="14.4" x14ac:dyDescent="0.3"/>
  <cols>
    <col min="1" max="1" width="27.44140625" bestFit="1" customWidth="1"/>
    <col min="2" max="2" width="37.77734375" bestFit="1" customWidth="1"/>
    <col min="3" max="3" width="30.5546875" bestFit="1" customWidth="1"/>
    <col min="4" max="4" width="23.77734375" bestFit="1" customWidth="1"/>
    <col min="5" max="5" width="20.5546875" bestFit="1" customWidth="1"/>
  </cols>
  <sheetData>
    <row r="1" spans="1:7" ht="15.6" x14ac:dyDescent="0.3">
      <c r="A1" s="28" t="s">
        <v>8</v>
      </c>
      <c r="B1" s="29"/>
      <c r="C1" s="1"/>
      <c r="D1" s="1"/>
      <c r="E1" s="1"/>
      <c r="F1" s="1"/>
      <c r="G1" s="1"/>
    </row>
    <row r="2" spans="1:7" x14ac:dyDescent="0.3">
      <c r="A2" s="7" t="s">
        <v>2</v>
      </c>
      <c r="B2" s="2">
        <v>7.0000000000000007E-2</v>
      </c>
      <c r="C2" s="1"/>
      <c r="D2" s="1"/>
      <c r="E2" s="1"/>
      <c r="F2" s="1"/>
      <c r="G2" s="1"/>
    </row>
    <row r="3" spans="1:7" x14ac:dyDescent="0.3">
      <c r="A3" s="7" t="s">
        <v>3</v>
      </c>
      <c r="B3" s="3">
        <v>48000</v>
      </c>
      <c r="C3" s="1">
        <v>48000</v>
      </c>
      <c r="D3" s="1"/>
      <c r="E3" s="1"/>
      <c r="F3" s="1"/>
      <c r="G3" s="1"/>
    </row>
    <row r="4" spans="1:7" x14ac:dyDescent="0.3">
      <c r="A4" s="7" t="s">
        <v>4</v>
      </c>
      <c r="B4" s="3">
        <v>-30000</v>
      </c>
      <c r="C4" s="1"/>
      <c r="D4" s="1"/>
      <c r="E4" s="1"/>
      <c r="F4" s="1"/>
      <c r="G4" s="1"/>
    </row>
    <row r="5" spans="1:7" x14ac:dyDescent="0.3">
      <c r="A5" s="1"/>
      <c r="B5" s="1"/>
      <c r="C5" s="1"/>
      <c r="D5" s="1"/>
      <c r="E5" s="1"/>
      <c r="F5" s="1"/>
      <c r="G5" s="1"/>
    </row>
    <row r="6" spans="1:7" x14ac:dyDescent="0.3">
      <c r="A6" s="8" t="s">
        <v>0</v>
      </c>
      <c r="B6" s="8" t="s">
        <v>1</v>
      </c>
      <c r="C6" s="8" t="s">
        <v>5</v>
      </c>
      <c r="D6" s="8" t="s">
        <v>6</v>
      </c>
      <c r="E6" s="7" t="s">
        <v>7</v>
      </c>
      <c r="F6" s="1"/>
      <c r="G6" s="1"/>
    </row>
    <row r="7" spans="1:7" x14ac:dyDescent="0.3">
      <c r="A7" s="4">
        <v>1</v>
      </c>
      <c r="B7" s="5">
        <v>0</v>
      </c>
      <c r="C7" s="5">
        <f>$B$3</f>
        <v>48000</v>
      </c>
      <c r="D7" s="5">
        <f>$B$2*(C7+B7)</f>
        <v>3360.0000000000005</v>
      </c>
      <c r="E7" s="3">
        <f>SUM(D7,C7,B7)</f>
        <v>51360</v>
      </c>
      <c r="F7" s="1"/>
      <c r="G7" s="1"/>
    </row>
    <row r="8" spans="1:7" x14ac:dyDescent="0.3">
      <c r="A8" s="4">
        <v>2</v>
      </c>
      <c r="B8" s="5">
        <f>E7</f>
        <v>51360</v>
      </c>
      <c r="C8" s="5">
        <f t="shared" ref="C8:C11" si="0">$B$3</f>
        <v>48000</v>
      </c>
      <c r="D8" s="5">
        <f t="shared" ref="D8:D19" si="1">$B$2*(C8+B8)</f>
        <v>6955.2000000000007</v>
      </c>
      <c r="E8" s="3">
        <f>SUM(B8:D8)</f>
        <v>106315.2</v>
      </c>
      <c r="F8" s="1"/>
      <c r="G8" s="1"/>
    </row>
    <row r="9" spans="1:7" x14ac:dyDescent="0.3">
      <c r="A9" s="6">
        <v>3</v>
      </c>
      <c r="B9" s="5">
        <f t="shared" ref="B9:B19" si="2">E8</f>
        <v>106315.2</v>
      </c>
      <c r="C9" s="5">
        <f t="shared" si="0"/>
        <v>48000</v>
      </c>
      <c r="D9" s="5">
        <f t="shared" si="1"/>
        <v>10802.064000000002</v>
      </c>
      <c r="E9" s="3">
        <f>SUM(B9:D9)</f>
        <v>165117.26400000002</v>
      </c>
    </row>
    <row r="10" spans="1:7" x14ac:dyDescent="0.3">
      <c r="A10" s="4">
        <v>4</v>
      </c>
      <c r="B10" s="5">
        <f t="shared" si="2"/>
        <v>165117.26400000002</v>
      </c>
      <c r="C10" s="5">
        <f t="shared" si="0"/>
        <v>48000</v>
      </c>
      <c r="D10" s="5">
        <f t="shared" si="1"/>
        <v>14918.208480000003</v>
      </c>
      <c r="E10" s="3">
        <f t="shared" ref="E10:E19" si="3">SUM(B10:D10)</f>
        <v>228035.47248000003</v>
      </c>
    </row>
    <row r="11" spans="1:7" x14ac:dyDescent="0.3">
      <c r="A11" s="4">
        <v>5</v>
      </c>
      <c r="B11" s="5">
        <f t="shared" si="2"/>
        <v>228035.47248000003</v>
      </c>
      <c r="C11" s="5">
        <f t="shared" si="0"/>
        <v>48000</v>
      </c>
      <c r="D11" s="5">
        <f t="shared" si="1"/>
        <v>19322.4830736</v>
      </c>
      <c r="E11" s="3">
        <f t="shared" si="3"/>
        <v>295357.95555359998</v>
      </c>
    </row>
    <row r="12" spans="1:7" x14ac:dyDescent="0.3">
      <c r="A12" s="6">
        <v>6</v>
      </c>
      <c r="B12" s="5">
        <f t="shared" si="2"/>
        <v>295357.95555359998</v>
      </c>
      <c r="C12" s="5">
        <v>-30000</v>
      </c>
      <c r="D12" s="5">
        <f t="shared" si="1"/>
        <v>18575.056888752002</v>
      </c>
      <c r="E12" s="3">
        <f t="shared" si="3"/>
        <v>283933.01244235196</v>
      </c>
    </row>
    <row r="13" spans="1:7" x14ac:dyDescent="0.3">
      <c r="A13" s="4">
        <v>7</v>
      </c>
      <c r="B13" s="5">
        <f t="shared" si="2"/>
        <v>283933.01244235196</v>
      </c>
      <c r="C13" s="5">
        <f>$B$4</f>
        <v>-30000</v>
      </c>
      <c r="D13" s="5">
        <f t="shared" si="1"/>
        <v>17775.31087096464</v>
      </c>
      <c r="E13" s="3">
        <f t="shared" si="3"/>
        <v>271708.32331331662</v>
      </c>
    </row>
    <row r="14" spans="1:7" x14ac:dyDescent="0.3">
      <c r="A14" s="4">
        <v>8</v>
      </c>
      <c r="B14" s="5">
        <f t="shared" si="2"/>
        <v>271708.32331331662</v>
      </c>
      <c r="C14" s="5">
        <f t="shared" ref="C14:C19" si="4">$B$4</f>
        <v>-30000</v>
      </c>
      <c r="D14" s="5">
        <f t="shared" si="1"/>
        <v>16919.582631932164</v>
      </c>
      <c r="E14" s="3">
        <f t="shared" si="3"/>
        <v>258627.90594524879</v>
      </c>
    </row>
    <row r="15" spans="1:7" x14ac:dyDescent="0.3">
      <c r="A15" s="6">
        <v>9</v>
      </c>
      <c r="B15" s="5">
        <f t="shared" si="2"/>
        <v>258627.90594524879</v>
      </c>
      <c r="C15" s="5">
        <f t="shared" si="4"/>
        <v>-30000</v>
      </c>
      <c r="D15" s="5">
        <f t="shared" si="1"/>
        <v>16003.953416167416</v>
      </c>
      <c r="E15" s="3">
        <f t="shared" si="3"/>
        <v>244631.85936141619</v>
      </c>
    </row>
    <row r="16" spans="1:7" x14ac:dyDescent="0.3">
      <c r="A16" s="4">
        <v>10</v>
      </c>
      <c r="B16" s="5">
        <f t="shared" si="2"/>
        <v>244631.85936141619</v>
      </c>
      <c r="C16" s="5">
        <f t="shared" si="4"/>
        <v>-30000</v>
      </c>
      <c r="D16" s="5">
        <f t="shared" si="1"/>
        <v>15024.230155299136</v>
      </c>
      <c r="E16" s="3">
        <f t="shared" si="3"/>
        <v>229656.08951671532</v>
      </c>
    </row>
    <row r="17" spans="1:5" x14ac:dyDescent="0.3">
      <c r="A17" s="4">
        <v>11</v>
      </c>
      <c r="B17" s="5">
        <f t="shared" si="2"/>
        <v>229656.08951671532</v>
      </c>
      <c r="C17" s="5">
        <f t="shared" si="4"/>
        <v>-30000</v>
      </c>
      <c r="D17" s="5">
        <f t="shared" si="1"/>
        <v>13975.926266170074</v>
      </c>
      <c r="E17" s="3">
        <f t="shared" si="3"/>
        <v>213632.0157828854</v>
      </c>
    </row>
    <row r="18" spans="1:5" x14ac:dyDescent="0.3">
      <c r="A18" s="6">
        <v>12</v>
      </c>
      <c r="B18" s="5">
        <f t="shared" si="2"/>
        <v>213632.0157828854</v>
      </c>
      <c r="C18" s="5">
        <f t="shared" si="4"/>
        <v>-30000</v>
      </c>
      <c r="D18" s="5">
        <f t="shared" si="1"/>
        <v>12854.241104801979</v>
      </c>
      <c r="E18" s="3">
        <f t="shared" si="3"/>
        <v>196486.25688768737</v>
      </c>
    </row>
    <row r="19" spans="1:5" x14ac:dyDescent="0.3">
      <c r="A19" s="4">
        <v>13</v>
      </c>
      <c r="B19" s="5">
        <f t="shared" si="2"/>
        <v>196486.25688768737</v>
      </c>
      <c r="C19" s="5">
        <f t="shared" si="4"/>
        <v>-30000</v>
      </c>
      <c r="D19" s="5">
        <f t="shared" si="1"/>
        <v>11654.037982138118</v>
      </c>
      <c r="E19" s="3">
        <f t="shared" si="3"/>
        <v>178140.29486982548</v>
      </c>
    </row>
    <row r="20" spans="1:5" x14ac:dyDescent="0.3">
      <c r="A20" s="1"/>
    </row>
    <row r="22" spans="1:5" x14ac:dyDescent="0.3">
      <c r="A22" s="1"/>
    </row>
    <row r="23" spans="1:5" x14ac:dyDescent="0.3">
      <c r="A23" s="1"/>
    </row>
    <row r="25" spans="1:5" x14ac:dyDescent="0.3">
      <c r="A25" s="1"/>
    </row>
    <row r="26" spans="1:5" x14ac:dyDescent="0.3">
      <c r="A26" s="1"/>
    </row>
  </sheetData>
  <mergeCells count="1">
    <mergeCell ref="A1:B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167D7-7AC7-451C-998B-2954BD78140A}">
  <sheetPr codeName="Sheet5"/>
  <dimension ref="A1:E19"/>
  <sheetViews>
    <sheetView workbookViewId="0">
      <selection activeCell="E19" sqref="E19"/>
    </sheetView>
  </sheetViews>
  <sheetFormatPr defaultRowHeight="14.4" x14ac:dyDescent="0.3"/>
  <cols>
    <col min="2" max="2" width="35" bestFit="1" customWidth="1"/>
    <col min="3" max="3" width="28.33203125" bestFit="1" customWidth="1"/>
    <col min="4" max="4" width="21.44140625" bestFit="1" customWidth="1"/>
    <col min="5" max="5" width="20.5546875" bestFit="1" customWidth="1"/>
  </cols>
  <sheetData>
    <row r="1" spans="1:5" ht="15.6" x14ac:dyDescent="0.3">
      <c r="A1" s="28" t="s">
        <v>8</v>
      </c>
      <c r="B1" s="29"/>
      <c r="C1" s="1"/>
      <c r="D1" s="1"/>
      <c r="E1" s="1"/>
    </row>
    <row r="2" spans="1:5" x14ac:dyDescent="0.3">
      <c r="A2" s="7" t="s">
        <v>2</v>
      </c>
      <c r="B2" s="2">
        <v>7.0000000000000007E-2</v>
      </c>
      <c r="C2" s="1"/>
      <c r="D2" s="1"/>
      <c r="E2" s="1"/>
    </row>
    <row r="3" spans="1:5" x14ac:dyDescent="0.3">
      <c r="A3" s="7" t="s">
        <v>3</v>
      </c>
      <c r="B3" s="3">
        <v>31150.580469464709</v>
      </c>
      <c r="C3" s="1"/>
      <c r="D3" s="1"/>
      <c r="E3" s="1"/>
    </row>
    <row r="4" spans="1:5" x14ac:dyDescent="0.3">
      <c r="A4" s="7" t="s">
        <v>4</v>
      </c>
      <c r="B4" s="3">
        <v>-30000</v>
      </c>
      <c r="C4" s="1"/>
      <c r="D4" s="1"/>
      <c r="E4" s="1"/>
    </row>
    <row r="5" spans="1:5" x14ac:dyDescent="0.3">
      <c r="A5" s="1"/>
      <c r="B5" s="1"/>
      <c r="C5" s="1"/>
      <c r="D5" s="1"/>
      <c r="E5" s="1"/>
    </row>
    <row r="6" spans="1:5" x14ac:dyDescent="0.3">
      <c r="A6" s="8" t="s">
        <v>0</v>
      </c>
      <c r="B6" s="8" t="s">
        <v>1</v>
      </c>
      <c r="C6" s="8" t="s">
        <v>5</v>
      </c>
      <c r="D6" s="8" t="s">
        <v>6</v>
      </c>
      <c r="E6" s="7" t="s">
        <v>7</v>
      </c>
    </row>
    <row r="7" spans="1:5" x14ac:dyDescent="0.3">
      <c r="A7" s="4">
        <v>1</v>
      </c>
      <c r="B7" s="5">
        <v>0</v>
      </c>
      <c r="C7" s="5">
        <f>$B$3</f>
        <v>31150.580469464709</v>
      </c>
      <c r="D7" s="5">
        <f>$B$2*(C7+B7)</f>
        <v>2180.5406328625299</v>
      </c>
      <c r="E7" s="3">
        <f>SUM(D7,C7,B7)</f>
        <v>33331.121102327241</v>
      </c>
    </row>
    <row r="8" spans="1:5" x14ac:dyDescent="0.3">
      <c r="A8" s="4">
        <v>2</v>
      </c>
      <c r="B8" s="5">
        <f>E7</f>
        <v>33331.121102327241</v>
      </c>
      <c r="C8" s="5">
        <f t="shared" ref="C8:C11" si="0">$B$3</f>
        <v>31150.580469464709</v>
      </c>
      <c r="D8" s="5">
        <f t="shared" ref="D8:D19" si="1">$B$2*(C8+B8)</f>
        <v>4513.7191100254367</v>
      </c>
      <c r="E8" s="3">
        <f t="shared" ref="E8:E19" si="2">SUM(D8,C8,B8)</f>
        <v>68995.420681817384</v>
      </c>
    </row>
    <row r="9" spans="1:5" x14ac:dyDescent="0.3">
      <c r="A9" s="6">
        <v>3</v>
      </c>
      <c r="B9" s="5">
        <f t="shared" ref="B9:B19" si="3">E8</f>
        <v>68995.420681817384</v>
      </c>
      <c r="C9" s="5">
        <f t="shared" si="0"/>
        <v>31150.580469464709</v>
      </c>
      <c r="D9" s="5">
        <f t="shared" si="1"/>
        <v>7010.2200805897473</v>
      </c>
      <c r="E9" s="3">
        <f t="shared" si="2"/>
        <v>107156.22123187184</v>
      </c>
    </row>
    <row r="10" spans="1:5" x14ac:dyDescent="0.3">
      <c r="A10" s="4">
        <v>4</v>
      </c>
      <c r="B10" s="5">
        <f t="shared" si="3"/>
        <v>107156.22123187184</v>
      </c>
      <c r="C10" s="5">
        <f t="shared" si="0"/>
        <v>31150.580469464709</v>
      </c>
      <c r="D10" s="5">
        <f t="shared" si="1"/>
        <v>9681.4761190935587</v>
      </c>
      <c r="E10" s="3">
        <f t="shared" si="2"/>
        <v>147988.27782043011</v>
      </c>
    </row>
    <row r="11" spans="1:5" x14ac:dyDescent="0.3">
      <c r="A11" s="4">
        <v>5</v>
      </c>
      <c r="B11" s="5">
        <f t="shared" si="3"/>
        <v>147988.27782043011</v>
      </c>
      <c r="C11" s="5">
        <f t="shared" si="0"/>
        <v>31150.580469464709</v>
      </c>
      <c r="D11" s="5">
        <f t="shared" si="1"/>
        <v>12539.720080292638</v>
      </c>
      <c r="E11" s="3">
        <f t="shared" si="2"/>
        <v>191678.57837018746</v>
      </c>
    </row>
    <row r="12" spans="1:5" x14ac:dyDescent="0.3">
      <c r="A12" s="6">
        <v>6</v>
      </c>
      <c r="B12" s="5">
        <f t="shared" si="3"/>
        <v>191678.57837018746</v>
      </c>
      <c r="C12" s="5">
        <v>-30000</v>
      </c>
      <c r="D12" s="5">
        <f t="shared" si="1"/>
        <v>11317.500485913124</v>
      </c>
      <c r="E12" s="3">
        <f t="shared" si="2"/>
        <v>172996.07885610059</v>
      </c>
    </row>
    <row r="13" spans="1:5" x14ac:dyDescent="0.3">
      <c r="A13" s="4">
        <v>7</v>
      </c>
      <c r="B13" s="5">
        <f t="shared" si="3"/>
        <v>172996.07885610059</v>
      </c>
      <c r="C13" s="5">
        <f>$B$4</f>
        <v>-30000</v>
      </c>
      <c r="D13" s="5">
        <f t="shared" si="1"/>
        <v>10009.725519927042</v>
      </c>
      <c r="E13" s="3">
        <f t="shared" si="2"/>
        <v>153005.80437602763</v>
      </c>
    </row>
    <row r="14" spans="1:5" x14ac:dyDescent="0.3">
      <c r="A14" s="4">
        <v>8</v>
      </c>
      <c r="B14" s="5">
        <f t="shared" si="3"/>
        <v>153005.80437602763</v>
      </c>
      <c r="C14" s="5">
        <f t="shared" ref="C14:C19" si="4">$B$4</f>
        <v>-30000</v>
      </c>
      <c r="D14" s="5">
        <f t="shared" si="1"/>
        <v>8610.4063063219346</v>
      </c>
      <c r="E14" s="3">
        <f t="shared" si="2"/>
        <v>131616.21068234957</v>
      </c>
    </row>
    <row r="15" spans="1:5" x14ac:dyDescent="0.3">
      <c r="A15" s="6">
        <v>9</v>
      </c>
      <c r="B15" s="5">
        <f t="shared" si="3"/>
        <v>131616.21068234957</v>
      </c>
      <c r="C15" s="5">
        <f t="shared" si="4"/>
        <v>-30000</v>
      </c>
      <c r="D15" s="5">
        <f t="shared" si="1"/>
        <v>7113.1347477644704</v>
      </c>
      <c r="E15" s="3">
        <f t="shared" si="2"/>
        <v>108729.34543011404</v>
      </c>
    </row>
    <row r="16" spans="1:5" x14ac:dyDescent="0.3">
      <c r="A16" s="4">
        <v>10</v>
      </c>
      <c r="B16" s="5">
        <f t="shared" si="3"/>
        <v>108729.34543011404</v>
      </c>
      <c r="C16" s="5">
        <f t="shared" si="4"/>
        <v>-30000</v>
      </c>
      <c r="D16" s="5">
        <f t="shared" si="1"/>
        <v>5511.0541801079835</v>
      </c>
      <c r="E16" s="3">
        <f t="shared" si="2"/>
        <v>84240.399610222026</v>
      </c>
    </row>
    <row r="17" spans="1:5" x14ac:dyDescent="0.3">
      <c r="A17" s="4">
        <v>11</v>
      </c>
      <c r="B17" s="5">
        <f t="shared" si="3"/>
        <v>84240.399610222026</v>
      </c>
      <c r="C17" s="5">
        <f t="shared" si="4"/>
        <v>-30000</v>
      </c>
      <c r="D17" s="5">
        <f t="shared" si="1"/>
        <v>3796.8279727155423</v>
      </c>
      <c r="E17" s="3">
        <f t="shared" si="2"/>
        <v>58037.227582937572</v>
      </c>
    </row>
    <row r="18" spans="1:5" x14ac:dyDescent="0.3">
      <c r="A18" s="6">
        <v>12</v>
      </c>
      <c r="B18" s="5">
        <f t="shared" si="3"/>
        <v>58037.227582937572</v>
      </c>
      <c r="C18" s="5">
        <f t="shared" si="4"/>
        <v>-30000</v>
      </c>
      <c r="D18" s="5">
        <f t="shared" si="1"/>
        <v>1962.6059308056304</v>
      </c>
      <c r="E18" s="3">
        <f t="shared" si="2"/>
        <v>29999.833513743204</v>
      </c>
    </row>
    <row r="19" spans="1:5" x14ac:dyDescent="0.3">
      <c r="A19" s="4">
        <v>13</v>
      </c>
      <c r="B19" s="5">
        <f t="shared" si="3"/>
        <v>29999.833513743204</v>
      </c>
      <c r="C19" s="5">
        <f t="shared" si="4"/>
        <v>-30000</v>
      </c>
      <c r="D19" s="5">
        <f t="shared" si="1"/>
        <v>-1.1654037975713438E-2</v>
      </c>
      <c r="E19" s="3">
        <f t="shared" si="2"/>
        <v>-0.17814029477085569</v>
      </c>
    </row>
  </sheetData>
  <mergeCells count="1">
    <mergeCell ref="A1:B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3E185-7371-40F5-8D38-60758CFC116D}">
  <dimension ref="A1:E9"/>
  <sheetViews>
    <sheetView tabSelected="1" topLeftCell="A2" workbookViewId="0">
      <selection activeCell="D9" sqref="D9:F12"/>
    </sheetView>
  </sheetViews>
  <sheetFormatPr defaultRowHeight="14.4" x14ac:dyDescent="0.3"/>
  <cols>
    <col min="1" max="1" width="25.44140625" bestFit="1" customWidth="1"/>
    <col min="2" max="2" width="12.5546875" bestFit="1" customWidth="1"/>
    <col min="4" max="4" width="12.5546875" bestFit="1" customWidth="1"/>
  </cols>
  <sheetData>
    <row r="1" spans="1:5" ht="15.6" x14ac:dyDescent="0.3">
      <c r="A1" s="30" t="s">
        <v>9</v>
      </c>
      <c r="B1" s="31"/>
      <c r="C1" s="31"/>
      <c r="D1" s="31"/>
      <c r="E1" s="31"/>
    </row>
    <row r="2" spans="1:5" x14ac:dyDescent="0.3">
      <c r="A2" s="11" t="s">
        <v>2</v>
      </c>
      <c r="B2" s="9">
        <v>7.0000000000000007E-2</v>
      </c>
    </row>
    <row r="3" spans="1:5" x14ac:dyDescent="0.3">
      <c r="A3" s="11" t="s">
        <v>10</v>
      </c>
      <c r="B3" s="10">
        <v>30000</v>
      </c>
    </row>
    <row r="4" spans="1:5" x14ac:dyDescent="0.3">
      <c r="A4" s="11" t="s">
        <v>11</v>
      </c>
      <c r="B4">
        <v>8</v>
      </c>
    </row>
    <row r="5" spans="1:5" x14ac:dyDescent="0.3">
      <c r="A5" s="11" t="s">
        <v>12</v>
      </c>
      <c r="B5">
        <v>5</v>
      </c>
    </row>
    <row r="6" spans="1:5" x14ac:dyDescent="0.3">
      <c r="A6" s="12" t="s">
        <v>13</v>
      </c>
      <c r="B6" s="13">
        <f>PV(B2,B4,B3,,1)/(1+B2)^5</f>
        <v>-136664.25120290995</v>
      </c>
      <c r="D6" s="13">
        <f>PV(B2,B4,B3,,1)/(1+B2)^B5</f>
        <v>-136664.25120290995</v>
      </c>
    </row>
    <row r="7" spans="1:5" x14ac:dyDescent="0.3">
      <c r="A7" s="12" t="s">
        <v>14</v>
      </c>
      <c r="B7" s="13">
        <f>PMT(B2,B5,-B6,,1)</f>
        <v>-31150.597318867385</v>
      </c>
      <c r="D7" s="13">
        <f>PMT(B2,B5,D6,,1)</f>
        <v>31150.597318867385</v>
      </c>
    </row>
    <row r="9" spans="1:5" x14ac:dyDescent="0.3">
      <c r="A9" t="s">
        <v>15</v>
      </c>
      <c r="B9" s="13">
        <f>PMT(B2, B5, PV(B2,B4,B3,,1)/(1+B2)^5,,1)</f>
        <v>31150.597318867385</v>
      </c>
    </row>
  </sheetData>
  <mergeCells count="1">
    <mergeCell ref="A1:E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6C03F-B190-411F-B7B6-EE38BD4AF399}">
  <dimension ref="A1:B347"/>
  <sheetViews>
    <sheetView workbookViewId="0">
      <selection activeCell="B20" sqref="B20"/>
    </sheetView>
  </sheetViews>
  <sheetFormatPr defaultRowHeight="14.4" x14ac:dyDescent="0.3"/>
  <cols>
    <col min="1" max="1" width="32" bestFit="1" customWidth="1"/>
    <col min="2" max="2" width="16.21875" bestFit="1" customWidth="1"/>
  </cols>
  <sheetData>
    <row r="1" spans="1:2" x14ac:dyDescent="0.3">
      <c r="A1" s="32" t="s">
        <v>24</v>
      </c>
      <c r="B1" s="33"/>
    </row>
    <row r="2" spans="1:2" x14ac:dyDescent="0.3">
      <c r="A2" s="15" t="s">
        <v>16</v>
      </c>
      <c r="B2" s="16">
        <v>1000</v>
      </c>
    </row>
    <row r="3" spans="1:2" x14ac:dyDescent="0.3">
      <c r="A3" s="15" t="s">
        <v>21</v>
      </c>
      <c r="B3" s="17">
        <v>0.05</v>
      </c>
    </row>
    <row r="4" spans="1:2" x14ac:dyDescent="0.3">
      <c r="A4" s="15" t="s">
        <v>17</v>
      </c>
      <c r="B4" s="16">
        <v>2</v>
      </c>
    </row>
    <row r="5" spans="1:2" x14ac:dyDescent="0.3">
      <c r="A5" s="15" t="s">
        <v>18</v>
      </c>
      <c r="B5" s="18">
        <f>B3/B4</f>
        <v>2.5000000000000001E-2</v>
      </c>
    </row>
    <row r="6" spans="1:2" x14ac:dyDescent="0.3">
      <c r="A6" s="15" t="s">
        <v>19</v>
      </c>
      <c r="B6" s="16">
        <f>B2*(1+B5)^B4</f>
        <v>1050.625</v>
      </c>
    </row>
    <row r="7" spans="1:2" x14ac:dyDescent="0.3">
      <c r="A7" s="15" t="s">
        <v>20</v>
      </c>
      <c r="B7" s="16">
        <f>B2*EXP(B3)</f>
        <v>1051.2710963760242</v>
      </c>
    </row>
    <row r="8" spans="1:2" x14ac:dyDescent="0.3">
      <c r="A8" s="14"/>
      <c r="B8" s="14"/>
    </row>
    <row r="9" spans="1:2" x14ac:dyDescent="0.3">
      <c r="A9" s="14"/>
      <c r="B9" s="14"/>
    </row>
    <row r="10" spans="1:2" x14ac:dyDescent="0.3">
      <c r="A10" s="15" t="s">
        <v>22</v>
      </c>
      <c r="B10" s="15" t="s">
        <v>23</v>
      </c>
    </row>
    <row r="11" spans="1:2" x14ac:dyDescent="0.3">
      <c r="A11" s="16">
        <v>1</v>
      </c>
      <c r="B11" s="19">
        <f>$B$2*(1+$B$3/A11)^A11</f>
        <v>1050</v>
      </c>
    </row>
    <row r="12" spans="1:2" x14ac:dyDescent="0.3">
      <c r="A12" s="16">
        <v>2</v>
      </c>
      <c r="B12" s="19">
        <f t="shared" ref="B12:B21" si="0">$B$2*(1+$B$3/A12)^A12</f>
        <v>1050.625</v>
      </c>
    </row>
    <row r="13" spans="1:2" x14ac:dyDescent="0.3">
      <c r="A13" s="16">
        <v>4</v>
      </c>
      <c r="B13" s="19">
        <f t="shared" si="0"/>
        <v>1050.9453369140624</v>
      </c>
    </row>
    <row r="14" spans="1:2" x14ac:dyDescent="0.3">
      <c r="A14" s="16">
        <v>12</v>
      </c>
      <c r="B14" s="19">
        <f t="shared" si="0"/>
        <v>1051.1618978817335</v>
      </c>
    </row>
    <row r="15" spans="1:2" x14ac:dyDescent="0.3">
      <c r="A15" s="16">
        <v>52</v>
      </c>
      <c r="B15" s="19">
        <f t="shared" si="0"/>
        <v>1051.2458419271975</v>
      </c>
    </row>
    <row r="16" spans="1:2" x14ac:dyDescent="0.3">
      <c r="A16" s="16">
        <v>100</v>
      </c>
      <c r="B16" s="19">
        <f t="shared" si="0"/>
        <v>1051.2579599480462</v>
      </c>
    </row>
    <row r="17" spans="1:2" x14ac:dyDescent="0.3">
      <c r="A17" s="16">
        <v>150</v>
      </c>
      <c r="B17" s="19">
        <f t="shared" si="0"/>
        <v>1051.2623377663551</v>
      </c>
    </row>
    <row r="18" spans="1:2" x14ac:dyDescent="0.3">
      <c r="A18" s="16">
        <v>300</v>
      </c>
      <c r="B18" s="19">
        <f t="shared" si="0"/>
        <v>1051.2667165755583</v>
      </c>
    </row>
    <row r="19" spans="1:2" x14ac:dyDescent="0.3">
      <c r="A19" s="16">
        <v>365</v>
      </c>
      <c r="B19" s="19">
        <f t="shared" si="0"/>
        <v>1051.2674964674229</v>
      </c>
    </row>
    <row r="20" spans="1:2" x14ac:dyDescent="0.3">
      <c r="A20" s="16">
        <v>730</v>
      </c>
      <c r="B20" s="19">
        <f t="shared" si="0"/>
        <v>1051.2692963380434</v>
      </c>
    </row>
    <row r="21" spans="1:2" x14ac:dyDescent="0.3">
      <c r="A21" s="16">
        <v>8760</v>
      </c>
      <c r="B21" s="19">
        <f t="shared" si="0"/>
        <v>1051.2709463660917</v>
      </c>
    </row>
    <row r="22" spans="1:2" x14ac:dyDescent="0.3">
      <c r="A22" s="14"/>
    </row>
    <row r="23" spans="1:2" x14ac:dyDescent="0.3">
      <c r="A23" s="14"/>
    </row>
    <row r="24" spans="1:2" x14ac:dyDescent="0.3">
      <c r="A24" s="14"/>
    </row>
    <row r="25" spans="1:2" x14ac:dyDescent="0.3">
      <c r="A25" s="14"/>
    </row>
    <row r="26" spans="1:2" x14ac:dyDescent="0.3">
      <c r="A26" s="14"/>
    </row>
    <row r="27" spans="1:2" x14ac:dyDescent="0.3">
      <c r="A27" s="14"/>
    </row>
    <row r="28" spans="1:2" x14ac:dyDescent="0.3">
      <c r="A28" s="14"/>
    </row>
    <row r="29" spans="1:2" x14ac:dyDescent="0.3">
      <c r="A29" s="14"/>
    </row>
    <row r="30" spans="1:2" x14ac:dyDescent="0.3">
      <c r="A30" s="14"/>
    </row>
    <row r="31" spans="1:2" x14ac:dyDescent="0.3">
      <c r="A31" s="14"/>
    </row>
    <row r="32" spans="1:2" x14ac:dyDescent="0.3">
      <c r="A32" s="14"/>
    </row>
    <row r="33" spans="1:1" x14ac:dyDescent="0.3">
      <c r="A33" s="14"/>
    </row>
    <row r="34" spans="1:1" x14ac:dyDescent="0.3">
      <c r="A34" s="14"/>
    </row>
    <row r="35" spans="1:1" x14ac:dyDescent="0.3">
      <c r="A35" s="14"/>
    </row>
    <row r="36" spans="1:1" x14ac:dyDescent="0.3">
      <c r="A36" s="14"/>
    </row>
    <row r="37" spans="1:1" x14ac:dyDescent="0.3">
      <c r="A37" s="14"/>
    </row>
    <row r="38" spans="1:1" x14ac:dyDescent="0.3">
      <c r="A38" s="14"/>
    </row>
    <row r="39" spans="1:1" x14ac:dyDescent="0.3">
      <c r="A39" s="14"/>
    </row>
    <row r="40" spans="1:1" x14ac:dyDescent="0.3">
      <c r="A40" s="14"/>
    </row>
    <row r="41" spans="1:1" x14ac:dyDescent="0.3">
      <c r="A41" s="14"/>
    </row>
    <row r="42" spans="1:1" x14ac:dyDescent="0.3">
      <c r="A42" s="14"/>
    </row>
    <row r="43" spans="1:1" x14ac:dyDescent="0.3">
      <c r="A43" s="14"/>
    </row>
    <row r="44" spans="1:1" x14ac:dyDescent="0.3">
      <c r="A44" s="14"/>
    </row>
    <row r="45" spans="1:1" x14ac:dyDescent="0.3">
      <c r="A45" s="14"/>
    </row>
    <row r="46" spans="1:1" x14ac:dyDescent="0.3">
      <c r="A46" s="14"/>
    </row>
    <row r="47" spans="1:1" x14ac:dyDescent="0.3">
      <c r="A47" s="14"/>
    </row>
    <row r="48" spans="1:1" x14ac:dyDescent="0.3">
      <c r="A48" s="14"/>
    </row>
    <row r="49" spans="1:1" x14ac:dyDescent="0.3">
      <c r="A49" s="14"/>
    </row>
    <row r="50" spans="1:1" x14ac:dyDescent="0.3">
      <c r="A50" s="14"/>
    </row>
    <row r="51" spans="1:1" x14ac:dyDescent="0.3">
      <c r="A51" s="14"/>
    </row>
    <row r="52" spans="1:1" x14ac:dyDescent="0.3">
      <c r="A52" s="14"/>
    </row>
    <row r="53" spans="1:1" x14ac:dyDescent="0.3">
      <c r="A53" s="14"/>
    </row>
    <row r="54" spans="1:1" x14ac:dyDescent="0.3">
      <c r="A54" s="14"/>
    </row>
    <row r="55" spans="1:1" x14ac:dyDescent="0.3">
      <c r="A55" s="14"/>
    </row>
    <row r="56" spans="1:1" x14ac:dyDescent="0.3">
      <c r="A56" s="14"/>
    </row>
    <row r="57" spans="1:1" x14ac:dyDescent="0.3">
      <c r="A57" s="14"/>
    </row>
    <row r="58" spans="1:1" x14ac:dyDescent="0.3">
      <c r="A58" s="14"/>
    </row>
    <row r="59" spans="1:1" x14ac:dyDescent="0.3">
      <c r="A59" s="14"/>
    </row>
    <row r="60" spans="1:1" x14ac:dyDescent="0.3">
      <c r="A60" s="14"/>
    </row>
    <row r="61" spans="1:1" x14ac:dyDescent="0.3">
      <c r="A61" s="14"/>
    </row>
    <row r="62" spans="1:1" x14ac:dyDescent="0.3">
      <c r="A62" s="14"/>
    </row>
    <row r="63" spans="1:1" x14ac:dyDescent="0.3">
      <c r="A63" s="14"/>
    </row>
    <row r="64" spans="1:1" x14ac:dyDescent="0.3">
      <c r="A64" s="14"/>
    </row>
    <row r="65" spans="1:1" x14ac:dyDescent="0.3">
      <c r="A65" s="14"/>
    </row>
    <row r="66" spans="1:1" x14ac:dyDescent="0.3">
      <c r="A66" s="14"/>
    </row>
    <row r="67" spans="1:1" x14ac:dyDescent="0.3">
      <c r="A67" s="14"/>
    </row>
    <row r="68" spans="1:1" x14ac:dyDescent="0.3">
      <c r="A68" s="14"/>
    </row>
    <row r="69" spans="1:1" x14ac:dyDescent="0.3">
      <c r="A69" s="14"/>
    </row>
    <row r="70" spans="1:1" x14ac:dyDescent="0.3">
      <c r="A70" s="14"/>
    </row>
    <row r="71" spans="1:1" x14ac:dyDescent="0.3">
      <c r="A71" s="14"/>
    </row>
    <row r="72" spans="1:1" x14ac:dyDescent="0.3">
      <c r="A72" s="14"/>
    </row>
    <row r="73" spans="1:1" x14ac:dyDescent="0.3">
      <c r="A73" s="14"/>
    </row>
    <row r="74" spans="1:1" x14ac:dyDescent="0.3">
      <c r="A74" s="14"/>
    </row>
    <row r="75" spans="1:1" x14ac:dyDescent="0.3">
      <c r="A75" s="14"/>
    </row>
    <row r="76" spans="1:1" x14ac:dyDescent="0.3">
      <c r="A76" s="14"/>
    </row>
    <row r="77" spans="1:1" x14ac:dyDescent="0.3">
      <c r="A77" s="14"/>
    </row>
    <row r="78" spans="1:1" x14ac:dyDescent="0.3">
      <c r="A78" s="14"/>
    </row>
    <row r="79" spans="1:1" x14ac:dyDescent="0.3">
      <c r="A79" s="14"/>
    </row>
    <row r="80" spans="1:1" x14ac:dyDescent="0.3">
      <c r="A80" s="14"/>
    </row>
    <row r="81" spans="1:1" x14ac:dyDescent="0.3">
      <c r="A81" s="14"/>
    </row>
    <row r="82" spans="1:1" x14ac:dyDescent="0.3">
      <c r="A82" s="14"/>
    </row>
    <row r="83" spans="1:1" x14ac:dyDescent="0.3">
      <c r="A83" s="14"/>
    </row>
    <row r="84" spans="1:1" x14ac:dyDescent="0.3">
      <c r="A84" s="14"/>
    </row>
    <row r="85" spans="1:1" x14ac:dyDescent="0.3">
      <c r="A85" s="14"/>
    </row>
    <row r="86" spans="1:1" x14ac:dyDescent="0.3">
      <c r="A86" s="14"/>
    </row>
    <row r="87" spans="1:1" x14ac:dyDescent="0.3">
      <c r="A87" s="14"/>
    </row>
    <row r="88" spans="1:1" x14ac:dyDescent="0.3">
      <c r="A88" s="14"/>
    </row>
    <row r="89" spans="1:1" x14ac:dyDescent="0.3">
      <c r="A89" s="14"/>
    </row>
    <row r="90" spans="1:1" x14ac:dyDescent="0.3">
      <c r="A90" s="14"/>
    </row>
    <row r="91" spans="1:1" x14ac:dyDescent="0.3">
      <c r="A91" s="14"/>
    </row>
    <row r="92" spans="1:1" x14ac:dyDescent="0.3">
      <c r="A92" s="14"/>
    </row>
    <row r="93" spans="1:1" x14ac:dyDescent="0.3">
      <c r="A93" s="14"/>
    </row>
    <row r="94" spans="1:1" x14ac:dyDescent="0.3">
      <c r="A94" s="14"/>
    </row>
    <row r="95" spans="1:1" x14ac:dyDescent="0.3">
      <c r="A95" s="14"/>
    </row>
    <row r="96" spans="1:1" x14ac:dyDescent="0.3">
      <c r="A96" s="14"/>
    </row>
    <row r="97" spans="1:1" x14ac:dyDescent="0.3">
      <c r="A97" s="14"/>
    </row>
    <row r="98" spans="1:1" x14ac:dyDescent="0.3">
      <c r="A98" s="14"/>
    </row>
    <row r="99" spans="1:1" x14ac:dyDescent="0.3">
      <c r="A99" s="14"/>
    </row>
    <row r="100" spans="1:1" x14ac:dyDescent="0.3">
      <c r="A100" s="14"/>
    </row>
    <row r="101" spans="1:1" x14ac:dyDescent="0.3">
      <c r="A101" s="14"/>
    </row>
    <row r="102" spans="1:1" x14ac:dyDescent="0.3">
      <c r="A102" s="14"/>
    </row>
    <row r="103" spans="1:1" x14ac:dyDescent="0.3">
      <c r="A103" s="14"/>
    </row>
    <row r="104" spans="1:1" x14ac:dyDescent="0.3">
      <c r="A104" s="14"/>
    </row>
    <row r="105" spans="1:1" x14ac:dyDescent="0.3">
      <c r="A105" s="14"/>
    </row>
    <row r="106" spans="1:1" x14ac:dyDescent="0.3">
      <c r="A106" s="14"/>
    </row>
    <row r="107" spans="1:1" x14ac:dyDescent="0.3">
      <c r="A107" s="14"/>
    </row>
    <row r="108" spans="1:1" x14ac:dyDescent="0.3">
      <c r="A108" s="14"/>
    </row>
    <row r="109" spans="1:1" x14ac:dyDescent="0.3">
      <c r="A109" s="14"/>
    </row>
    <row r="110" spans="1:1" x14ac:dyDescent="0.3">
      <c r="A110" s="14"/>
    </row>
    <row r="111" spans="1:1" x14ac:dyDescent="0.3">
      <c r="A111" s="14"/>
    </row>
    <row r="112" spans="1:1" x14ac:dyDescent="0.3">
      <c r="A112" s="14"/>
    </row>
    <row r="113" spans="1:1" x14ac:dyDescent="0.3">
      <c r="A113" s="14"/>
    </row>
    <row r="114" spans="1:1" x14ac:dyDescent="0.3">
      <c r="A114" s="14"/>
    </row>
    <row r="115" spans="1:1" x14ac:dyDescent="0.3">
      <c r="A115" s="14"/>
    </row>
    <row r="116" spans="1:1" x14ac:dyDescent="0.3">
      <c r="A116" s="14"/>
    </row>
    <row r="117" spans="1:1" x14ac:dyDescent="0.3">
      <c r="A117" s="14"/>
    </row>
    <row r="118" spans="1:1" x14ac:dyDescent="0.3">
      <c r="A118" s="14"/>
    </row>
    <row r="119" spans="1:1" x14ac:dyDescent="0.3">
      <c r="A119" s="14"/>
    </row>
    <row r="120" spans="1:1" x14ac:dyDescent="0.3">
      <c r="A120" s="14"/>
    </row>
    <row r="121" spans="1:1" x14ac:dyDescent="0.3">
      <c r="A121" s="14"/>
    </row>
    <row r="122" spans="1:1" x14ac:dyDescent="0.3">
      <c r="A122" s="14"/>
    </row>
    <row r="123" spans="1:1" x14ac:dyDescent="0.3">
      <c r="A123" s="14"/>
    </row>
    <row r="124" spans="1:1" x14ac:dyDescent="0.3">
      <c r="A124" s="14"/>
    </row>
    <row r="125" spans="1:1" x14ac:dyDescent="0.3">
      <c r="A125" s="14"/>
    </row>
    <row r="126" spans="1:1" x14ac:dyDescent="0.3">
      <c r="A126" s="14"/>
    </row>
    <row r="127" spans="1:1" x14ac:dyDescent="0.3">
      <c r="A127" s="14"/>
    </row>
    <row r="128" spans="1:1" x14ac:dyDescent="0.3">
      <c r="A128" s="14"/>
    </row>
    <row r="129" spans="1:1" x14ac:dyDescent="0.3">
      <c r="A129" s="14"/>
    </row>
    <row r="130" spans="1:1" x14ac:dyDescent="0.3">
      <c r="A130" s="14"/>
    </row>
    <row r="131" spans="1:1" x14ac:dyDescent="0.3">
      <c r="A131" s="14"/>
    </row>
    <row r="132" spans="1:1" x14ac:dyDescent="0.3">
      <c r="A132" s="14"/>
    </row>
    <row r="133" spans="1:1" x14ac:dyDescent="0.3">
      <c r="A133" s="14"/>
    </row>
    <row r="134" spans="1:1" x14ac:dyDescent="0.3">
      <c r="A134" s="14"/>
    </row>
    <row r="135" spans="1:1" x14ac:dyDescent="0.3">
      <c r="A135" s="14"/>
    </row>
    <row r="136" spans="1:1" x14ac:dyDescent="0.3">
      <c r="A136" s="14"/>
    </row>
    <row r="137" spans="1:1" x14ac:dyDescent="0.3">
      <c r="A137" s="14"/>
    </row>
    <row r="138" spans="1:1" x14ac:dyDescent="0.3">
      <c r="A138" s="14"/>
    </row>
    <row r="139" spans="1:1" x14ac:dyDescent="0.3">
      <c r="A139" s="14"/>
    </row>
    <row r="140" spans="1:1" x14ac:dyDescent="0.3">
      <c r="A140" s="14"/>
    </row>
    <row r="141" spans="1:1" x14ac:dyDescent="0.3">
      <c r="A141" s="14"/>
    </row>
    <row r="142" spans="1:1" x14ac:dyDescent="0.3">
      <c r="A142" s="14"/>
    </row>
    <row r="143" spans="1:1" x14ac:dyDescent="0.3">
      <c r="A143" s="14"/>
    </row>
    <row r="144" spans="1:1" x14ac:dyDescent="0.3">
      <c r="A144" s="14"/>
    </row>
    <row r="145" spans="1:1" x14ac:dyDescent="0.3">
      <c r="A145" s="14"/>
    </row>
    <row r="146" spans="1:1" x14ac:dyDescent="0.3">
      <c r="A146" s="14"/>
    </row>
    <row r="147" spans="1:1" x14ac:dyDescent="0.3">
      <c r="A147" s="14"/>
    </row>
    <row r="148" spans="1:1" x14ac:dyDescent="0.3">
      <c r="A148" s="14"/>
    </row>
    <row r="149" spans="1:1" x14ac:dyDescent="0.3">
      <c r="A149" s="14"/>
    </row>
    <row r="150" spans="1:1" x14ac:dyDescent="0.3">
      <c r="A150" s="14"/>
    </row>
    <row r="151" spans="1:1" x14ac:dyDescent="0.3">
      <c r="A151" s="14"/>
    </row>
    <row r="152" spans="1:1" x14ac:dyDescent="0.3">
      <c r="A152" s="14"/>
    </row>
    <row r="153" spans="1:1" x14ac:dyDescent="0.3">
      <c r="A153" s="14"/>
    </row>
    <row r="154" spans="1:1" x14ac:dyDescent="0.3">
      <c r="A154" s="14"/>
    </row>
    <row r="155" spans="1:1" x14ac:dyDescent="0.3">
      <c r="A155" s="14"/>
    </row>
    <row r="156" spans="1:1" x14ac:dyDescent="0.3">
      <c r="A156" s="14"/>
    </row>
    <row r="157" spans="1:1" x14ac:dyDescent="0.3">
      <c r="A157" s="14"/>
    </row>
    <row r="158" spans="1:1" x14ac:dyDescent="0.3">
      <c r="A158" s="14"/>
    </row>
    <row r="159" spans="1:1" x14ac:dyDescent="0.3">
      <c r="A159" s="14"/>
    </row>
    <row r="160" spans="1:1" x14ac:dyDescent="0.3">
      <c r="A160" s="14"/>
    </row>
    <row r="161" spans="1:1" x14ac:dyDescent="0.3">
      <c r="A161" s="14"/>
    </row>
    <row r="162" spans="1:1" x14ac:dyDescent="0.3">
      <c r="A162" s="14"/>
    </row>
    <row r="163" spans="1:1" x14ac:dyDescent="0.3">
      <c r="A163" s="14"/>
    </row>
    <row r="164" spans="1:1" x14ac:dyDescent="0.3">
      <c r="A164" s="14"/>
    </row>
    <row r="165" spans="1:1" x14ac:dyDescent="0.3">
      <c r="A165" s="14"/>
    </row>
    <row r="166" spans="1:1" x14ac:dyDescent="0.3">
      <c r="A166" s="14"/>
    </row>
    <row r="167" spans="1:1" x14ac:dyDescent="0.3">
      <c r="A167" s="14"/>
    </row>
    <row r="168" spans="1:1" x14ac:dyDescent="0.3">
      <c r="A168" s="14"/>
    </row>
    <row r="169" spans="1:1" x14ac:dyDescent="0.3">
      <c r="A169" s="14"/>
    </row>
    <row r="170" spans="1:1" x14ac:dyDescent="0.3">
      <c r="A170" s="14"/>
    </row>
    <row r="171" spans="1:1" x14ac:dyDescent="0.3">
      <c r="A171" s="14"/>
    </row>
    <row r="172" spans="1:1" x14ac:dyDescent="0.3">
      <c r="A172" s="14"/>
    </row>
    <row r="173" spans="1:1" x14ac:dyDescent="0.3">
      <c r="A173" s="14"/>
    </row>
    <row r="174" spans="1:1" x14ac:dyDescent="0.3">
      <c r="A174" s="14"/>
    </row>
    <row r="175" spans="1:1" x14ac:dyDescent="0.3">
      <c r="A175" s="14"/>
    </row>
    <row r="176" spans="1:1" x14ac:dyDescent="0.3">
      <c r="A176" s="14"/>
    </row>
    <row r="177" spans="1:1" x14ac:dyDescent="0.3">
      <c r="A177" s="14"/>
    </row>
    <row r="178" spans="1:1" x14ac:dyDescent="0.3">
      <c r="A178" s="14"/>
    </row>
    <row r="179" spans="1:1" x14ac:dyDescent="0.3">
      <c r="A179" s="14"/>
    </row>
    <row r="180" spans="1:1" x14ac:dyDescent="0.3">
      <c r="A180" s="14"/>
    </row>
    <row r="181" spans="1:1" x14ac:dyDescent="0.3">
      <c r="A181" s="14"/>
    </row>
    <row r="182" spans="1:1" x14ac:dyDescent="0.3">
      <c r="A182" s="14"/>
    </row>
    <row r="183" spans="1:1" x14ac:dyDescent="0.3">
      <c r="A183" s="14"/>
    </row>
    <row r="184" spans="1:1" x14ac:dyDescent="0.3">
      <c r="A184" s="14"/>
    </row>
    <row r="185" spans="1:1" x14ac:dyDescent="0.3">
      <c r="A185" s="14"/>
    </row>
    <row r="186" spans="1:1" x14ac:dyDescent="0.3">
      <c r="A186" s="14"/>
    </row>
    <row r="187" spans="1:1" x14ac:dyDescent="0.3">
      <c r="A187" s="14"/>
    </row>
    <row r="188" spans="1:1" x14ac:dyDescent="0.3">
      <c r="A188" s="14"/>
    </row>
    <row r="189" spans="1:1" x14ac:dyDescent="0.3">
      <c r="A189" s="14"/>
    </row>
    <row r="190" spans="1:1" x14ac:dyDescent="0.3">
      <c r="A190" s="14"/>
    </row>
    <row r="191" spans="1:1" x14ac:dyDescent="0.3">
      <c r="A191" s="14"/>
    </row>
    <row r="192" spans="1:1" x14ac:dyDescent="0.3">
      <c r="A192" s="14"/>
    </row>
    <row r="193" spans="1:1" x14ac:dyDescent="0.3">
      <c r="A193" s="14"/>
    </row>
    <row r="194" spans="1:1" x14ac:dyDescent="0.3">
      <c r="A194" s="14"/>
    </row>
    <row r="195" spans="1:1" x14ac:dyDescent="0.3">
      <c r="A195" s="14"/>
    </row>
    <row r="196" spans="1:1" x14ac:dyDescent="0.3">
      <c r="A196" s="14"/>
    </row>
    <row r="197" spans="1:1" x14ac:dyDescent="0.3">
      <c r="A197" s="14"/>
    </row>
    <row r="198" spans="1:1" x14ac:dyDescent="0.3">
      <c r="A198" s="14"/>
    </row>
    <row r="199" spans="1:1" x14ac:dyDescent="0.3">
      <c r="A199" s="14"/>
    </row>
    <row r="200" spans="1:1" x14ac:dyDescent="0.3">
      <c r="A200" s="14"/>
    </row>
    <row r="201" spans="1:1" x14ac:dyDescent="0.3">
      <c r="A201" s="14"/>
    </row>
    <row r="202" spans="1:1" x14ac:dyDescent="0.3">
      <c r="A202" s="14"/>
    </row>
    <row r="203" spans="1:1" x14ac:dyDescent="0.3">
      <c r="A203" s="14"/>
    </row>
    <row r="204" spans="1:1" x14ac:dyDescent="0.3">
      <c r="A204" s="14"/>
    </row>
    <row r="205" spans="1:1" x14ac:dyDescent="0.3">
      <c r="A205" s="14"/>
    </row>
    <row r="206" spans="1:1" x14ac:dyDescent="0.3">
      <c r="A206" s="14"/>
    </row>
    <row r="207" spans="1:1" x14ac:dyDescent="0.3">
      <c r="A207" s="14"/>
    </row>
    <row r="208" spans="1:1" x14ac:dyDescent="0.3">
      <c r="A208" s="14"/>
    </row>
    <row r="209" spans="1:1" x14ac:dyDescent="0.3">
      <c r="A209" s="14"/>
    </row>
    <row r="210" spans="1:1" x14ac:dyDescent="0.3">
      <c r="A210" s="14"/>
    </row>
    <row r="211" spans="1:1" x14ac:dyDescent="0.3">
      <c r="A211" s="14"/>
    </row>
    <row r="212" spans="1:1" x14ac:dyDescent="0.3">
      <c r="A212" s="14"/>
    </row>
    <row r="213" spans="1:1" x14ac:dyDescent="0.3">
      <c r="A213" s="14"/>
    </row>
    <row r="214" spans="1:1" x14ac:dyDescent="0.3">
      <c r="A214" s="14"/>
    </row>
    <row r="215" spans="1:1" x14ac:dyDescent="0.3">
      <c r="A215" s="14"/>
    </row>
    <row r="216" spans="1:1" x14ac:dyDescent="0.3">
      <c r="A216" s="14"/>
    </row>
    <row r="217" spans="1:1" x14ac:dyDescent="0.3">
      <c r="A217" s="14"/>
    </row>
    <row r="218" spans="1:1" x14ac:dyDescent="0.3">
      <c r="A218" s="14"/>
    </row>
    <row r="219" spans="1:1" x14ac:dyDescent="0.3">
      <c r="A219" s="14"/>
    </row>
    <row r="220" spans="1:1" x14ac:dyDescent="0.3">
      <c r="A220" s="14"/>
    </row>
    <row r="221" spans="1:1" x14ac:dyDescent="0.3">
      <c r="A221" s="14"/>
    </row>
    <row r="222" spans="1:1" x14ac:dyDescent="0.3">
      <c r="A222" s="14"/>
    </row>
    <row r="223" spans="1:1" x14ac:dyDescent="0.3">
      <c r="A223" s="14"/>
    </row>
    <row r="224" spans="1:1" x14ac:dyDescent="0.3">
      <c r="A224" s="14"/>
    </row>
    <row r="225" spans="1:1" x14ac:dyDescent="0.3">
      <c r="A225" s="14"/>
    </row>
    <row r="226" spans="1:1" x14ac:dyDescent="0.3">
      <c r="A226" s="14"/>
    </row>
    <row r="227" spans="1:1" x14ac:dyDescent="0.3">
      <c r="A227" s="14"/>
    </row>
    <row r="228" spans="1:1" x14ac:dyDescent="0.3">
      <c r="A228" s="14"/>
    </row>
    <row r="229" spans="1:1" x14ac:dyDescent="0.3">
      <c r="A229" s="14"/>
    </row>
    <row r="230" spans="1:1" x14ac:dyDescent="0.3">
      <c r="A230" s="14"/>
    </row>
    <row r="231" spans="1:1" x14ac:dyDescent="0.3">
      <c r="A231" s="14"/>
    </row>
    <row r="232" spans="1:1" x14ac:dyDescent="0.3">
      <c r="A232" s="14"/>
    </row>
    <row r="233" spans="1:1" x14ac:dyDescent="0.3">
      <c r="A233" s="14"/>
    </row>
    <row r="234" spans="1:1" x14ac:dyDescent="0.3">
      <c r="A234" s="14"/>
    </row>
    <row r="235" spans="1:1" x14ac:dyDescent="0.3">
      <c r="A235" s="14"/>
    </row>
    <row r="236" spans="1:1" x14ac:dyDescent="0.3">
      <c r="A236" s="14"/>
    </row>
    <row r="237" spans="1:1" x14ac:dyDescent="0.3">
      <c r="A237" s="14"/>
    </row>
    <row r="238" spans="1:1" x14ac:dyDescent="0.3">
      <c r="A238" s="14"/>
    </row>
    <row r="239" spans="1:1" x14ac:dyDescent="0.3">
      <c r="A239" s="14"/>
    </row>
    <row r="240" spans="1:1" x14ac:dyDescent="0.3">
      <c r="A240" s="14"/>
    </row>
    <row r="241" spans="1:1" x14ac:dyDescent="0.3">
      <c r="A241" s="14"/>
    </row>
    <row r="242" spans="1:1" x14ac:dyDescent="0.3">
      <c r="A242" s="14"/>
    </row>
    <row r="243" spans="1:1" x14ac:dyDescent="0.3">
      <c r="A243" s="14"/>
    </row>
    <row r="244" spans="1:1" x14ac:dyDescent="0.3">
      <c r="A244" s="14"/>
    </row>
    <row r="245" spans="1:1" x14ac:dyDescent="0.3">
      <c r="A245" s="14"/>
    </row>
    <row r="246" spans="1:1" x14ac:dyDescent="0.3">
      <c r="A246" s="14"/>
    </row>
    <row r="247" spans="1:1" x14ac:dyDescent="0.3">
      <c r="A247" s="14"/>
    </row>
    <row r="248" spans="1:1" x14ac:dyDescent="0.3">
      <c r="A248" s="14"/>
    </row>
    <row r="249" spans="1:1" x14ac:dyDescent="0.3">
      <c r="A249" s="14"/>
    </row>
    <row r="250" spans="1:1" x14ac:dyDescent="0.3">
      <c r="A250" s="14"/>
    </row>
    <row r="251" spans="1:1" x14ac:dyDescent="0.3">
      <c r="A251" s="14"/>
    </row>
    <row r="252" spans="1:1" x14ac:dyDescent="0.3">
      <c r="A252" s="14"/>
    </row>
    <row r="253" spans="1:1" x14ac:dyDescent="0.3">
      <c r="A253" s="14"/>
    </row>
    <row r="254" spans="1:1" x14ac:dyDescent="0.3">
      <c r="A254" s="14"/>
    </row>
    <row r="255" spans="1:1" x14ac:dyDescent="0.3">
      <c r="A255" s="14"/>
    </row>
    <row r="256" spans="1:1" x14ac:dyDescent="0.3">
      <c r="A256" s="14"/>
    </row>
    <row r="257" spans="1:1" x14ac:dyDescent="0.3">
      <c r="A257" s="14"/>
    </row>
    <row r="258" spans="1:1" x14ac:dyDescent="0.3">
      <c r="A258" s="14"/>
    </row>
    <row r="259" spans="1:1" x14ac:dyDescent="0.3">
      <c r="A259" s="14"/>
    </row>
    <row r="260" spans="1:1" x14ac:dyDescent="0.3">
      <c r="A260" s="14"/>
    </row>
    <row r="261" spans="1:1" x14ac:dyDescent="0.3">
      <c r="A261" s="14"/>
    </row>
    <row r="262" spans="1:1" x14ac:dyDescent="0.3">
      <c r="A262" s="14"/>
    </row>
    <row r="263" spans="1:1" x14ac:dyDescent="0.3">
      <c r="A263" s="14"/>
    </row>
    <row r="264" spans="1:1" x14ac:dyDescent="0.3">
      <c r="A264" s="14"/>
    </row>
    <row r="265" spans="1:1" x14ac:dyDescent="0.3">
      <c r="A265" s="14"/>
    </row>
    <row r="266" spans="1:1" x14ac:dyDescent="0.3">
      <c r="A266" s="14"/>
    </row>
    <row r="267" spans="1:1" x14ac:dyDescent="0.3">
      <c r="A267" s="14"/>
    </row>
    <row r="268" spans="1:1" x14ac:dyDescent="0.3">
      <c r="A268" s="14"/>
    </row>
    <row r="269" spans="1:1" x14ac:dyDescent="0.3">
      <c r="A269" s="14"/>
    </row>
    <row r="270" spans="1:1" x14ac:dyDescent="0.3">
      <c r="A270" s="14"/>
    </row>
    <row r="271" spans="1:1" x14ac:dyDescent="0.3">
      <c r="A271" s="14"/>
    </row>
    <row r="272" spans="1:1" x14ac:dyDescent="0.3">
      <c r="A272" s="14"/>
    </row>
    <row r="273" spans="1:1" x14ac:dyDescent="0.3">
      <c r="A273" s="14"/>
    </row>
    <row r="274" spans="1:1" x14ac:dyDescent="0.3">
      <c r="A274" s="14"/>
    </row>
    <row r="275" spans="1:1" x14ac:dyDescent="0.3">
      <c r="A275" s="14"/>
    </row>
    <row r="276" spans="1:1" x14ac:dyDescent="0.3">
      <c r="A276" s="14"/>
    </row>
    <row r="277" spans="1:1" x14ac:dyDescent="0.3">
      <c r="A277" s="14"/>
    </row>
    <row r="278" spans="1:1" x14ac:dyDescent="0.3">
      <c r="A278" s="14"/>
    </row>
    <row r="279" spans="1:1" x14ac:dyDescent="0.3">
      <c r="A279" s="14"/>
    </row>
    <row r="280" spans="1:1" x14ac:dyDescent="0.3">
      <c r="A280" s="14"/>
    </row>
    <row r="281" spans="1:1" x14ac:dyDescent="0.3">
      <c r="A281" s="14"/>
    </row>
    <row r="282" spans="1:1" x14ac:dyDescent="0.3">
      <c r="A282" s="14"/>
    </row>
    <row r="283" spans="1:1" x14ac:dyDescent="0.3">
      <c r="A283" s="14"/>
    </row>
    <row r="284" spans="1:1" x14ac:dyDescent="0.3">
      <c r="A284" s="14"/>
    </row>
    <row r="285" spans="1:1" x14ac:dyDescent="0.3">
      <c r="A285" s="14"/>
    </row>
    <row r="286" spans="1:1" x14ac:dyDescent="0.3">
      <c r="A286" s="14"/>
    </row>
    <row r="287" spans="1:1" x14ac:dyDescent="0.3">
      <c r="A287" s="14"/>
    </row>
    <row r="288" spans="1:1" x14ac:dyDescent="0.3">
      <c r="A288" s="14"/>
    </row>
    <row r="289" spans="1:1" x14ac:dyDescent="0.3">
      <c r="A289" s="14"/>
    </row>
    <row r="290" spans="1:1" x14ac:dyDescent="0.3">
      <c r="A290" s="14"/>
    </row>
    <row r="291" spans="1:1" x14ac:dyDescent="0.3">
      <c r="A291" s="14"/>
    </row>
    <row r="292" spans="1:1" x14ac:dyDescent="0.3">
      <c r="A292" s="14"/>
    </row>
    <row r="293" spans="1:1" x14ac:dyDescent="0.3">
      <c r="A293" s="14"/>
    </row>
    <row r="294" spans="1:1" x14ac:dyDescent="0.3">
      <c r="A294" s="14"/>
    </row>
    <row r="295" spans="1:1" x14ac:dyDescent="0.3">
      <c r="A295" s="14"/>
    </row>
    <row r="296" spans="1:1" x14ac:dyDescent="0.3">
      <c r="A296" s="14"/>
    </row>
    <row r="297" spans="1:1" x14ac:dyDescent="0.3">
      <c r="A297" s="14"/>
    </row>
    <row r="298" spans="1:1" x14ac:dyDescent="0.3">
      <c r="A298" s="14"/>
    </row>
    <row r="299" spans="1:1" x14ac:dyDescent="0.3">
      <c r="A299" s="14"/>
    </row>
    <row r="300" spans="1:1" x14ac:dyDescent="0.3">
      <c r="A300" s="14"/>
    </row>
    <row r="301" spans="1:1" x14ac:dyDescent="0.3">
      <c r="A301" s="14"/>
    </row>
    <row r="302" spans="1:1" x14ac:dyDescent="0.3">
      <c r="A302" s="14"/>
    </row>
    <row r="303" spans="1:1" x14ac:dyDescent="0.3">
      <c r="A303" s="14"/>
    </row>
    <row r="304" spans="1:1" x14ac:dyDescent="0.3">
      <c r="A304" s="14"/>
    </row>
    <row r="305" spans="1:1" x14ac:dyDescent="0.3">
      <c r="A305" s="14"/>
    </row>
    <row r="306" spans="1:1" x14ac:dyDescent="0.3">
      <c r="A306" s="14"/>
    </row>
    <row r="307" spans="1:1" x14ac:dyDescent="0.3">
      <c r="A307" s="14"/>
    </row>
    <row r="308" spans="1:1" x14ac:dyDescent="0.3">
      <c r="A308" s="14"/>
    </row>
    <row r="309" spans="1:1" x14ac:dyDescent="0.3">
      <c r="A309" s="14"/>
    </row>
    <row r="310" spans="1:1" x14ac:dyDescent="0.3">
      <c r="A310" s="14"/>
    </row>
    <row r="311" spans="1:1" x14ac:dyDescent="0.3">
      <c r="A311" s="14"/>
    </row>
    <row r="312" spans="1:1" x14ac:dyDescent="0.3">
      <c r="A312" s="14"/>
    </row>
    <row r="313" spans="1:1" x14ac:dyDescent="0.3">
      <c r="A313" s="14"/>
    </row>
    <row r="314" spans="1:1" x14ac:dyDescent="0.3">
      <c r="A314" s="14"/>
    </row>
    <row r="315" spans="1:1" x14ac:dyDescent="0.3">
      <c r="A315" s="14"/>
    </row>
    <row r="316" spans="1:1" x14ac:dyDescent="0.3">
      <c r="A316" s="14"/>
    </row>
    <row r="317" spans="1:1" x14ac:dyDescent="0.3">
      <c r="A317" s="14"/>
    </row>
    <row r="318" spans="1:1" x14ac:dyDescent="0.3">
      <c r="A318" s="14"/>
    </row>
    <row r="319" spans="1:1" x14ac:dyDescent="0.3">
      <c r="A319" s="14"/>
    </row>
    <row r="320" spans="1:1" x14ac:dyDescent="0.3">
      <c r="A320" s="14"/>
    </row>
    <row r="321" spans="1:1" x14ac:dyDescent="0.3">
      <c r="A321" s="14"/>
    </row>
    <row r="322" spans="1:1" x14ac:dyDescent="0.3">
      <c r="A322" s="14"/>
    </row>
    <row r="323" spans="1:1" x14ac:dyDescent="0.3">
      <c r="A323" s="14"/>
    </row>
    <row r="324" spans="1:1" x14ac:dyDescent="0.3">
      <c r="A324" s="14"/>
    </row>
    <row r="325" spans="1:1" x14ac:dyDescent="0.3">
      <c r="A325" s="14"/>
    </row>
    <row r="326" spans="1:1" x14ac:dyDescent="0.3">
      <c r="A326" s="14"/>
    </row>
    <row r="327" spans="1:1" x14ac:dyDescent="0.3">
      <c r="A327" s="14"/>
    </row>
    <row r="328" spans="1:1" x14ac:dyDescent="0.3">
      <c r="A328" s="14"/>
    </row>
    <row r="329" spans="1:1" x14ac:dyDescent="0.3">
      <c r="A329" s="14"/>
    </row>
    <row r="330" spans="1:1" x14ac:dyDescent="0.3">
      <c r="A330" s="14"/>
    </row>
    <row r="331" spans="1:1" x14ac:dyDescent="0.3">
      <c r="A331" s="14"/>
    </row>
    <row r="332" spans="1:1" x14ac:dyDescent="0.3">
      <c r="A332" s="14"/>
    </row>
    <row r="333" spans="1:1" x14ac:dyDescent="0.3">
      <c r="A333" s="14"/>
    </row>
    <row r="334" spans="1:1" x14ac:dyDescent="0.3">
      <c r="A334" s="14"/>
    </row>
    <row r="335" spans="1:1" x14ac:dyDescent="0.3">
      <c r="A335" s="14"/>
    </row>
    <row r="336" spans="1:1" x14ac:dyDescent="0.3">
      <c r="A336" s="14"/>
    </row>
    <row r="337" spans="1:1" x14ac:dyDescent="0.3">
      <c r="A337" s="14"/>
    </row>
    <row r="338" spans="1:1" x14ac:dyDescent="0.3">
      <c r="A338" s="14"/>
    </row>
    <row r="339" spans="1:1" x14ac:dyDescent="0.3">
      <c r="A339" s="14"/>
    </row>
    <row r="340" spans="1:1" x14ac:dyDescent="0.3">
      <c r="A340" s="14"/>
    </row>
    <row r="341" spans="1:1" x14ac:dyDescent="0.3">
      <c r="A341" s="14"/>
    </row>
    <row r="342" spans="1:1" x14ac:dyDescent="0.3">
      <c r="A342" s="14"/>
    </row>
    <row r="343" spans="1:1" x14ac:dyDescent="0.3">
      <c r="A343" s="14"/>
    </row>
    <row r="344" spans="1:1" x14ac:dyDescent="0.3">
      <c r="A344" s="14"/>
    </row>
    <row r="345" spans="1:1" x14ac:dyDescent="0.3">
      <c r="A345" s="14"/>
    </row>
    <row r="346" spans="1:1" x14ac:dyDescent="0.3">
      <c r="A346" s="14"/>
    </row>
    <row r="347" spans="1:1" x14ac:dyDescent="0.3">
      <c r="A347" s="14"/>
    </row>
  </sheetData>
  <mergeCells count="1">
    <mergeCell ref="A1:B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48058-8881-428E-B9F3-949B4C632E27}">
  <dimension ref="A1:C16"/>
  <sheetViews>
    <sheetView workbookViewId="0">
      <selection activeCell="C5" sqref="C5"/>
    </sheetView>
  </sheetViews>
  <sheetFormatPr defaultRowHeight="14.4" x14ac:dyDescent="0.3"/>
  <cols>
    <col min="1" max="1" width="20.33203125" bestFit="1" customWidth="1"/>
    <col min="2" max="2" width="9" bestFit="1" customWidth="1"/>
    <col min="3" max="3" width="22.77734375" bestFit="1" customWidth="1"/>
  </cols>
  <sheetData>
    <row r="1" spans="1:3" ht="15.6" x14ac:dyDescent="0.3">
      <c r="A1" s="34" t="s">
        <v>25</v>
      </c>
      <c r="B1" s="34"/>
    </row>
    <row r="2" spans="1:3" x14ac:dyDescent="0.3">
      <c r="A2" s="20" t="s">
        <v>2</v>
      </c>
      <c r="B2" s="21">
        <v>0.08</v>
      </c>
    </row>
    <row r="4" spans="1:3" x14ac:dyDescent="0.3">
      <c r="A4" s="20" t="s">
        <v>26</v>
      </c>
      <c r="B4" s="20" t="s">
        <v>27</v>
      </c>
      <c r="C4" s="20" t="s">
        <v>28</v>
      </c>
    </row>
    <row r="5" spans="1:3" x14ac:dyDescent="0.3">
      <c r="A5" s="22">
        <v>1</v>
      </c>
      <c r="B5" s="22">
        <v>100</v>
      </c>
      <c r="C5" s="22">
        <f>B5*EXP(-$B$2*A5)</f>
        <v>92.311634638663577</v>
      </c>
    </row>
    <row r="6" spans="1:3" x14ac:dyDescent="0.3">
      <c r="A6" s="22">
        <v>2</v>
      </c>
      <c r="B6" s="22">
        <v>200</v>
      </c>
      <c r="C6" s="22">
        <f t="shared" ref="C6:C14" si="0">B6*EXP(-$B$2*A6)</f>
        <v>170.42875779324226</v>
      </c>
    </row>
    <row r="7" spans="1:3" x14ac:dyDescent="0.3">
      <c r="A7" s="22">
        <v>3</v>
      </c>
      <c r="B7" s="22">
        <v>300</v>
      </c>
      <c r="C7" s="22">
        <f t="shared" si="0"/>
        <v>235.98835831996604</v>
      </c>
    </row>
    <row r="8" spans="1:3" x14ac:dyDescent="0.3">
      <c r="A8" s="22">
        <v>4</v>
      </c>
      <c r="B8" s="22">
        <v>400</v>
      </c>
      <c r="C8" s="22">
        <f t="shared" si="0"/>
        <v>290.45961482947638</v>
      </c>
    </row>
    <row r="9" spans="1:3" x14ac:dyDescent="0.3">
      <c r="A9" s="22">
        <v>5</v>
      </c>
      <c r="B9" s="22">
        <v>500</v>
      </c>
      <c r="C9" s="22">
        <f t="shared" si="0"/>
        <v>335.16002301781964</v>
      </c>
    </row>
    <row r="10" spans="1:3" x14ac:dyDescent="0.3">
      <c r="A10" s="22">
        <v>6</v>
      </c>
      <c r="B10" s="22">
        <v>600</v>
      </c>
      <c r="C10" s="22">
        <f t="shared" si="0"/>
        <v>371.27003508368449</v>
      </c>
    </row>
    <row r="11" spans="1:3" x14ac:dyDescent="0.3">
      <c r="A11" s="22">
        <v>7</v>
      </c>
      <c r="B11" s="22">
        <v>700</v>
      </c>
      <c r="C11" s="22">
        <f t="shared" si="0"/>
        <v>399.8463446941704</v>
      </c>
    </row>
    <row r="12" spans="1:3" x14ac:dyDescent="0.3">
      <c r="A12" s="22">
        <v>8</v>
      </c>
      <c r="B12" s="22">
        <v>800</v>
      </c>
      <c r="C12" s="22">
        <f t="shared" si="0"/>
        <v>421.83393923443884</v>
      </c>
    </row>
    <row r="13" spans="1:3" x14ac:dyDescent="0.3">
      <c r="A13" s="22">
        <v>9</v>
      </c>
      <c r="B13" s="22">
        <v>900</v>
      </c>
      <c r="C13" s="22">
        <f t="shared" si="0"/>
        <v>438.07703036397453</v>
      </c>
    </row>
    <row r="14" spans="1:3" x14ac:dyDescent="0.3">
      <c r="A14" s="22">
        <v>10</v>
      </c>
      <c r="B14" s="22">
        <v>1000</v>
      </c>
      <c r="C14" s="22">
        <f t="shared" si="0"/>
        <v>449.32896411722157</v>
      </c>
    </row>
    <row r="16" spans="1:3" x14ac:dyDescent="0.3">
      <c r="A16" s="20" t="s">
        <v>29</v>
      </c>
      <c r="B16" s="22">
        <f>SUM(C5:C14)</f>
        <v>3204.7047020926575</v>
      </c>
    </row>
  </sheetData>
  <mergeCells count="1">
    <mergeCell ref="A1:B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Flat Payment Schedule</vt:lpstr>
      <vt:lpstr>Retirement</vt:lpstr>
      <vt:lpstr>Retirement Solver</vt:lpstr>
      <vt:lpstr>Retirement Fin Formulas</vt:lpstr>
      <vt:lpstr>Multiple Compounding Periods</vt:lpstr>
      <vt:lpstr>Continuous Discounting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KAUSHIKI choubey</dc:creator>
  <cp:lastModifiedBy>KAUSHIKI choubey</cp:lastModifiedBy>
  <dcterms:created xsi:type="dcterms:W3CDTF">2025-01-24T03:40:48Z</dcterms:created>
  <dcterms:modified xsi:type="dcterms:W3CDTF">2025-05-14T23:26:37Z</dcterms:modified>
</cp:coreProperties>
</file>