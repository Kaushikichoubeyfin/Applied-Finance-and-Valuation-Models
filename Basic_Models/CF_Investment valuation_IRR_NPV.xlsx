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ushiki choubey\Desktop\Badri Sir2\FM\"/>
    </mc:Choice>
  </mc:AlternateContent>
  <xr:revisionPtr revIDLastSave="0" documentId="13_ncr:1_{C91DBA0C-7814-4E29-A919-091C2F824191}" xr6:coauthVersionLast="47" xr6:coauthVersionMax="47" xr10:uidLastSave="{00000000-0000-0000-0000-000000000000}"/>
  <bookViews>
    <workbookView xWindow="-108" yWindow="-108" windowWidth="23256" windowHeight="12456" xr2:uid="{B2B91FF7-1A71-44CA-A75F-178EC4308630}"/>
  </bookViews>
  <sheets>
    <sheet name="IRR(Manual)" sheetId="1" r:id="rId1"/>
    <sheet name="Rate Function" sheetId="5" r:id="rId2"/>
    <sheet name="M IRR" sheetId="3" r:id="rId3"/>
    <sheet name="Bond IRR" sheetId="4" r:id="rId4"/>
    <sheet name="Calculating Returns From Prices" sheetId="10" r:id="rId5"/>
    <sheet name="XIRR" sheetId="7" r:id="rId6"/>
    <sheet name="XNPV" sheetId="8" r:id="rId7"/>
    <sheet name="NXNPV" sheetId="9" r:id="rId8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8" l="1"/>
  <c r="B10" i="7"/>
  <c r="B7" i="10"/>
  <c r="B5" i="10"/>
  <c r="B12" i="10" s="1"/>
  <c r="F8" i="3" l="1"/>
  <c r="C31" i="1"/>
  <c r="D35" i="1"/>
  <c r="D34" i="1"/>
  <c r="D33" i="1"/>
  <c r="D32" i="1"/>
  <c r="D31" i="1"/>
  <c r="B31" i="1"/>
  <c r="E31" i="1" l="1"/>
  <c r="B32" i="1" s="1"/>
  <c r="C32" i="1" s="1"/>
  <c r="E32" i="1" l="1"/>
  <c r="B33" i="1" s="1"/>
  <c r="C33" i="1" s="1"/>
  <c r="E33" i="1" l="1"/>
  <c r="B34" i="1" s="1"/>
  <c r="C34" i="1" s="1"/>
  <c r="E34" i="1" l="1"/>
  <c r="B35" i="1" s="1"/>
  <c r="C35" i="1" s="1"/>
  <c r="E35" i="1" l="1"/>
  <c r="C5" i="5" l="1"/>
  <c r="C39" i="5"/>
  <c r="F31" i="1"/>
  <c r="D5" i="5"/>
  <c r="F15" i="1"/>
  <c r="F16" i="1"/>
  <c r="F17" i="1"/>
  <c r="F13" i="1"/>
  <c r="F14" i="1"/>
  <c r="E7" i="4" l="1"/>
  <c r="E8" i="4"/>
  <c r="E9" i="4"/>
  <c r="E10" i="4"/>
  <c r="E11" i="4"/>
  <c r="E12" i="4"/>
  <c r="E13" i="4"/>
  <c r="E14" i="4"/>
  <c r="E15" i="4"/>
  <c r="E16" i="4"/>
  <c r="E6" i="4"/>
  <c r="B18" i="4"/>
  <c r="A18" i="3"/>
  <c r="A17" i="3"/>
  <c r="R6" i="3"/>
  <c r="F6" i="3"/>
  <c r="F9" i="3"/>
  <c r="F10" i="3"/>
  <c r="F11" i="3"/>
  <c r="F12" i="3"/>
  <c r="F13" i="3"/>
  <c r="F14" i="3"/>
  <c r="F15" i="3"/>
  <c r="F16" i="3"/>
  <c r="F17" i="3"/>
  <c r="F18" i="3"/>
  <c r="F19" i="3"/>
  <c r="F20" i="3"/>
  <c r="F7" i="3"/>
  <c r="B3" i="3"/>
  <c r="U5" i="3" s="1"/>
  <c r="D14" i="1"/>
  <c r="D15" i="1"/>
  <c r="D16" i="1"/>
  <c r="D17" i="1"/>
  <c r="D13" i="1"/>
  <c r="B9" i="1"/>
  <c r="C13" i="1" s="1"/>
  <c r="E13" i="1" s="1"/>
  <c r="B14" i="1" s="1"/>
  <c r="B13" i="1"/>
  <c r="C14" i="1" l="1"/>
  <c r="E14" i="1" s="1"/>
  <c r="B15" i="1" s="1"/>
  <c r="C15" i="1" l="1"/>
  <c r="E15" i="1" s="1"/>
  <c r="B16" i="1" s="1"/>
  <c r="C16" i="1" l="1"/>
  <c r="E16" i="1" s="1"/>
  <c r="B17" i="1" s="1"/>
  <c r="C17" i="1" l="1"/>
  <c r="E17" i="1" s="1"/>
</calcChain>
</file>

<file path=xl/sharedStrings.xml><?xml version="1.0" encoding="utf-8"?>
<sst xmlns="http://schemas.openxmlformats.org/spreadsheetml/2006/main" count="67" uniqueCount="42">
  <si>
    <t>Year</t>
  </si>
  <si>
    <t>Cash Flow</t>
  </si>
  <si>
    <t>Internal Rate of Return</t>
  </si>
  <si>
    <t>IRR</t>
  </si>
  <si>
    <t>Using the IRR Investment Table</t>
  </si>
  <si>
    <t>Investment at the begining of the year</t>
  </si>
  <si>
    <t>Income</t>
  </si>
  <si>
    <t>Cashflow at the end of the Year</t>
  </si>
  <si>
    <t>Investment at the end of the year</t>
  </si>
  <si>
    <t>Goal Seek</t>
  </si>
  <si>
    <t>Cash flow</t>
  </si>
  <si>
    <t>Dicount Rate</t>
  </si>
  <si>
    <t>NPV</t>
  </si>
  <si>
    <t>Discount rate</t>
  </si>
  <si>
    <t>Multiple Internal Rate of Return</t>
  </si>
  <si>
    <t>Data Table with the help of "What if" analysis</t>
  </si>
  <si>
    <t>Disc. Rate</t>
  </si>
  <si>
    <t>By Guess</t>
  </si>
  <si>
    <r>
      <rPr>
        <b/>
        <sz val="10"/>
        <color theme="1"/>
        <rFont val="Times New Roman"/>
        <family val="1"/>
      </rPr>
      <t>Bond Cash Flow</t>
    </r>
    <r>
      <rPr>
        <sz val="10"/>
        <color theme="1"/>
        <rFont val="Times New Roman"/>
        <family val="1"/>
      </rPr>
      <t>: NPV Crosses X- AXIS ONLY ONCE, THUS, ONLY ONE IRR</t>
    </r>
  </si>
  <si>
    <t>Data table: Effect of discount rate on NPV</t>
  </si>
  <si>
    <t xml:space="preserve">Rate </t>
  </si>
  <si>
    <t xml:space="preserve">Initial investment </t>
  </si>
  <si>
    <t>Periodic Cash Flow</t>
  </si>
  <si>
    <t>Number of Payments</t>
  </si>
  <si>
    <t>Using Excel's Rate Function to Calculate IRR</t>
  </si>
  <si>
    <t>Cash Flows</t>
  </si>
  <si>
    <r>
      <rPr>
        <b/>
        <sz val="12"/>
        <color theme="1"/>
        <rFont val="Times New Roman"/>
        <family val="1"/>
      </rPr>
      <t>NOTE:</t>
    </r>
    <r>
      <rPr>
        <sz val="12"/>
        <color theme="1"/>
        <rFont val="Times New Roman"/>
        <family val="1"/>
      </rPr>
      <t xml:space="preserve"> Rate function works only if the cash flow for every period is the same</t>
    </r>
  </si>
  <si>
    <t>What-if-Analysis----&gt;Goal Seek ----&gt; Set Cell to E35 ---&gt;To a value 0 ----&gt; By changing IRR value cell:B27</t>
  </si>
  <si>
    <t>Initital Deposit</t>
  </si>
  <si>
    <t>End of Year Value</t>
  </si>
  <si>
    <t>Number of Compounding Periods</t>
  </si>
  <si>
    <t>Implied RoR</t>
  </si>
  <si>
    <t>Continuous return</t>
  </si>
  <si>
    <t xml:space="preserve">Implied Annual Interest rate with n compounding periods </t>
  </si>
  <si>
    <t>Compounding Periods</t>
  </si>
  <si>
    <t>USING XIRR TO COMPUTE THE ANNUALIZED INTERNAL RATE OF RETURN</t>
  </si>
  <si>
    <t>Date</t>
  </si>
  <si>
    <t>Cashflow</t>
  </si>
  <si>
    <t>XIRR</t>
  </si>
  <si>
    <t>USING XNPV TO COMPUTE THE NET PRESENT VALUE</t>
  </si>
  <si>
    <t>Annual discount rate</t>
  </si>
  <si>
    <t>XNPV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</si>
</sst>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/>
    <xf numFmtId="9" fontId="1" fillId="0" borderId="0" xfId="0" applyNumberFormat="1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4" fillId="0" borderId="3" xfId="0" applyFont="1" applyBorder="1"/>
    <xf numFmtId="2" fontId="4" fillId="0" borderId="3" xfId="0" applyNumberFormat="1" applyFont="1" applyBorder="1"/>
    <xf numFmtId="0" fontId="4" fillId="2" borderId="3" xfId="0" applyFont="1" applyFill="1" applyBorder="1" applyAlignment="1">
      <alignment horizontal="center"/>
    </xf>
    <xf numFmtId="0" fontId="5" fillId="0" borderId="0" xfId="0" applyFont="1"/>
    <xf numFmtId="10" fontId="1" fillId="0" borderId="3" xfId="0" applyNumberFormat="1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2" borderId="3" xfId="0" applyFont="1" applyFill="1" applyBorder="1"/>
    <xf numFmtId="9" fontId="4" fillId="0" borderId="3" xfId="0" applyNumberFormat="1" applyFont="1" applyBorder="1"/>
    <xf numFmtId="0" fontId="4" fillId="3" borderId="3" xfId="0" applyFont="1" applyFill="1" applyBorder="1" applyAlignment="1">
      <alignment horizontal="center"/>
    </xf>
    <xf numFmtId="0" fontId="7" fillId="0" borderId="0" xfId="0" applyFont="1"/>
    <xf numFmtId="1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5" xfId="0" applyFont="1" applyBorder="1"/>
    <xf numFmtId="0" fontId="2" fillId="0" borderId="0" xfId="0" applyFont="1"/>
    <xf numFmtId="0" fontId="3" fillId="0" borderId="0" xfId="0" applyFont="1" applyAlignment="1">
      <alignment horizontal="left"/>
    </xf>
    <xf numFmtId="10" fontId="3" fillId="0" borderId="0" xfId="0" applyNumberFormat="1" applyFont="1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8" fontId="1" fillId="0" borderId="0" xfId="0" applyNumberFormat="1" applyFont="1" applyAlignment="1">
      <alignment horizontal="center"/>
    </xf>
    <xf numFmtId="0" fontId="9" fillId="0" borderId="0" xfId="0" applyFont="1"/>
    <xf numFmtId="0" fontId="8" fillId="0" borderId="0" xfId="0" applyFont="1"/>
    <xf numFmtId="0" fontId="8" fillId="5" borderId="0" xfId="0" applyFont="1" applyFill="1" applyAlignment="1">
      <alignment horizontal="center" wrapText="1"/>
    </xf>
    <xf numFmtId="0" fontId="8" fillId="0" borderId="0" xfId="0" applyFont="1" applyFill="1" applyAlignment="1">
      <alignment horizontal="center" wrapText="1"/>
    </xf>
    <xf numFmtId="0" fontId="0" fillId="0" borderId="0" xfId="0" applyFill="1"/>
    <xf numFmtId="0" fontId="9" fillId="2" borderId="3" xfId="0" applyFont="1" applyFill="1" applyBorder="1"/>
    <xf numFmtId="0" fontId="6" fillId="2" borderId="3" xfId="0" applyFont="1" applyFill="1" applyBorder="1"/>
    <xf numFmtId="15" fontId="6" fillId="2" borderId="3" xfId="0" applyNumberFormat="1" applyFont="1" applyFill="1" applyBorder="1"/>
    <xf numFmtId="10" fontId="1" fillId="0" borderId="3" xfId="0" applyNumberFormat="1" applyFont="1" applyFill="1" applyBorder="1"/>
    <xf numFmtId="0" fontId="10" fillId="0" borderId="0" xfId="0" applyFont="1" applyFill="1" applyAlignment="1">
      <alignment horizontal="center" wrapText="1"/>
    </xf>
    <xf numFmtId="0" fontId="7" fillId="0" borderId="0" xfId="0" applyFont="1" applyFill="1"/>
    <xf numFmtId="0" fontId="2" fillId="5" borderId="3" xfId="0" applyFont="1" applyFill="1" applyBorder="1" applyAlignment="1">
      <alignment horizontal="center" wrapText="1"/>
    </xf>
    <xf numFmtId="15" fontId="6" fillId="2" borderId="6" xfId="0" applyNumberFormat="1" applyFont="1" applyFill="1" applyBorder="1"/>
    <xf numFmtId="0" fontId="1" fillId="0" borderId="6" xfId="0" applyFont="1" applyBorder="1"/>
    <xf numFmtId="0" fontId="6" fillId="0" borderId="0" xfId="0" applyFont="1" applyFill="1" applyBorder="1"/>
    <xf numFmtId="0" fontId="1" fillId="0" borderId="0" xfId="0" applyFont="1" applyBorder="1"/>
    <xf numFmtId="0" fontId="6" fillId="2" borderId="0" xfId="0" applyFont="1" applyFill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559324512"/>
        <c:axId val="1559307712"/>
      </c:scatterChart>
      <c:valAx>
        <c:axId val="155932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07712"/>
        <c:crosses val="autoZero"/>
        <c:crossBetween val="midCat"/>
      </c:valAx>
      <c:valAx>
        <c:axId val="155930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2451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50000"/>
                  </a:schemeClr>
                </a:solidFill>
              </a:rPr>
              <a:t>IRR Vs</a:t>
            </a:r>
            <a:r>
              <a:rPr lang="en-US" b="1" baseline="0">
                <a:solidFill>
                  <a:schemeClr val="accent6">
                    <a:lumMod val="50000"/>
                  </a:schemeClr>
                </a:solidFill>
              </a:rPr>
              <a:t> NPV</a:t>
            </a:r>
            <a:r>
              <a:rPr lang="en-US" b="1">
                <a:solidFill>
                  <a:schemeClr val="accent6">
                    <a:lumMod val="50000"/>
                  </a:schemeClr>
                </a:solidFill>
              </a:rPr>
              <a:t>  </a:t>
            </a:r>
          </a:p>
        </c:rich>
      </c:tx>
      <c:layout>
        <c:manualLayout>
          <c:xMode val="edge"/>
          <c:yMode val="edge"/>
          <c:x val="0.4275833333333333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 IRR'!$F$5</c:f>
              <c:strCache>
                <c:ptCount val="1"/>
                <c:pt idx="0">
                  <c:v>NPV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 IRR'!$E$6:$E$20</c:f>
              <c:numCache>
                <c:formatCode>0%</c:formatCode>
                <c:ptCount val="15"/>
                <c:pt idx="1">
                  <c:v>0</c:v>
                </c:pt>
                <c:pt idx="2">
                  <c:v>0.03</c:v>
                </c:pt>
                <c:pt idx="3">
                  <c:v>0.06</c:v>
                </c:pt>
                <c:pt idx="4">
                  <c:v>0.09</c:v>
                </c:pt>
                <c:pt idx="5">
                  <c:v>0.12</c:v>
                </c:pt>
                <c:pt idx="6">
                  <c:v>0.15</c:v>
                </c:pt>
                <c:pt idx="7">
                  <c:v>0.18</c:v>
                </c:pt>
                <c:pt idx="8">
                  <c:v>0.21</c:v>
                </c:pt>
                <c:pt idx="9">
                  <c:v>0.24</c:v>
                </c:pt>
                <c:pt idx="10">
                  <c:v>0.27</c:v>
                </c:pt>
                <c:pt idx="11">
                  <c:v>0.3</c:v>
                </c:pt>
                <c:pt idx="12">
                  <c:v>0.33</c:v>
                </c:pt>
                <c:pt idx="13">
                  <c:v>0.36</c:v>
                </c:pt>
                <c:pt idx="14">
                  <c:v>0.39</c:v>
                </c:pt>
              </c:numCache>
            </c:numRef>
          </c:xVal>
          <c:yVal>
            <c:numRef>
              <c:f>'M IRR'!$F$6:$F$20</c:f>
              <c:numCache>
                <c:formatCode>0.00</c:formatCode>
                <c:ptCount val="15"/>
                <c:pt idx="0">
                  <c:v>-3.9854362682000044</c:v>
                </c:pt>
                <c:pt idx="1">
                  <c:v>-20</c:v>
                </c:pt>
                <c:pt idx="2">
                  <c:v>-10.507575424608092</c:v>
                </c:pt>
                <c:pt idx="3">
                  <c:v>-3.9854362682000044</c:v>
                </c:pt>
                <c:pt idx="4">
                  <c:v>0.24085647329212634</c:v>
                </c:pt>
                <c:pt idx="5">
                  <c:v>2.6925493400257778</c:v>
                </c:pt>
                <c:pt idx="6">
                  <c:v>3.7742340642815009</c:v>
                </c:pt>
                <c:pt idx="7">
                  <c:v>3.8011460077677839</c:v>
                </c:pt>
                <c:pt idx="8">
                  <c:v>3.0197000689104811</c:v>
                </c:pt>
                <c:pt idx="9">
                  <c:v>1.6230390485557962</c:v>
                </c:pt>
                <c:pt idx="10">
                  <c:v>-0.237122901511583</c:v>
                </c:pt>
                <c:pt idx="11">
                  <c:v>-2.4414276595572915</c:v>
                </c:pt>
                <c:pt idx="12">
                  <c:v>-4.895886047904952</c:v>
                </c:pt>
                <c:pt idx="13">
                  <c:v>-7.5264699851816204</c:v>
                </c:pt>
                <c:pt idx="14">
                  <c:v>-10.274907341794687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71-4538-AB10-27F5405E5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90048"/>
        <c:axId val="44794368"/>
      </c:scatterChart>
      <c:valAx>
        <c:axId val="4479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4368"/>
        <c:crosses val="autoZero"/>
        <c:crossBetween val="midCat"/>
      </c:valAx>
      <c:valAx>
        <c:axId val="447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48"/>
        <c:crosses val="autoZero"/>
        <c:crossBetween val="midCat"/>
      </c:valAx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50000"/>
                  </a:schemeClr>
                </a:solidFill>
              </a:rPr>
              <a:t>Rate Vs NPV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'Bond IRR'!$E$5</c:f>
              <c:strCache>
                <c:ptCount val="1"/>
                <c:pt idx="0">
                  <c:v>NPV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'Bond IRR'!$D$6:$D$17</c:f>
              <c:numCache>
                <c:formatCode>0%</c:formatCode>
                <c:ptCount val="1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</c:numCache>
            </c:numRef>
          </c:cat>
          <c:val>
            <c:numRef>
              <c:f>'Bond IRR'!$E$6:$E$17</c:f>
              <c:numCache>
                <c:formatCode>0.00</c:formatCode>
                <c:ptCount val="12"/>
                <c:pt idx="0">
                  <c:v>1200</c:v>
                </c:pt>
                <c:pt idx="1">
                  <c:v>918.60680049937878</c:v>
                </c:pt>
                <c:pt idx="2">
                  <c:v>686.65374676130136</c:v>
                </c:pt>
                <c:pt idx="3">
                  <c:v>494.40348205658734</c:v>
                </c:pt>
                <c:pt idx="4">
                  <c:v>334.20162797882836</c:v>
                </c:pt>
                <c:pt idx="5">
                  <c:v>199.99999999999955</c:v>
                </c:pt>
                <c:pt idx="6">
                  <c:v>86.995539431782163</c:v>
                </c:pt>
                <c:pt idx="7">
                  <c:v>-8.64462585174374</c:v>
                </c:pt>
                <c:pt idx="8">
                  <c:v>-89.993648707448301</c:v>
                </c:pt>
                <c:pt idx="9">
                  <c:v>-159.52690359395285</c:v>
                </c:pt>
                <c:pt idx="10">
                  <c:v>-219.24720855507712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DD-4826-A8F1-E61F61DE48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0152032"/>
        <c:axId val="70168352"/>
      </c:lineChart>
      <c:catAx>
        <c:axId val="7015203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68352"/>
        <c:crosses val="autoZero"/>
        <c:auto val="1"/>
        <c:lblAlgn val="ctr"/>
        <c:lblOffset val="100"/>
        <c:noMultiLvlLbl val="0"/>
      </c:catAx>
      <c:valAx>
        <c:axId val="7016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2032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327660</xdr:colOff>
      <xdr:row>24</xdr:row>
      <xdr:rowOff>22860</xdr:rowOff>
    </xdr:from>
    <xdr:to>
      <xdr:col>19</xdr:col>
      <xdr:colOff>304800</xdr:colOff>
      <xdr:row>31</xdr:row>
      <xdr:rowOff>186690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67C323-DC19-9FA8-5CB6-8F41B946A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525780</xdr:colOff>
      <xdr:row>6</xdr:row>
      <xdr:rowOff>7620</xdr:rowOff>
    </xdr:from>
    <xdr:to>
      <xdr:col>15</xdr:col>
      <xdr:colOff>2110740</xdr:colOff>
      <xdr:row>25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4D151C-F43C-6EC9-89A6-0382B4D80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133350</xdr:rowOff>
    </xdr:from>
    <xdr:to>
      <xdr:col>15</xdr:col>
      <xdr:colOff>228600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B1C765-86A6-CECE-017E-F441A3DC8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2A68-2C06-4DDF-B6DF-BC9277556DC2}">
  <sheetPr>
    <tabColor theme="9" tint="0.59999389629810485"/>
  </sheetPr>
  <dimension ref="A1:K35"/>
  <sheetViews>
    <sheetView tabSelected="1" workbookViewId="0">
      <selection activeCell="D19" sqref="D19"/>
    </sheetView>
  </sheetViews>
  <sheetFormatPr defaultRowHeight="15.6" x14ac:dyDescent="0.3"/>
  <cols>
    <col min="1" max="1" width="25" style="3" customWidth="1"/>
    <col min="2" max="2" width="32.33203125" style="3" bestFit="1" customWidth="1"/>
    <col min="3" max="3" width="11.21875" style="3" customWidth="1"/>
    <col min="4" max="4" width="28.44140625" style="3" customWidth="1"/>
    <col min="5" max="5" width="30.44140625" style="3" bestFit="1" customWidth="1"/>
    <col min="6" max="6" width="16.21875" style="1" bestFit="1" customWidth="1"/>
    <col min="7" max="8" width="8.88671875" style="1"/>
  </cols>
  <sheetData>
    <row r="1" spans="1:6" x14ac:dyDescent="0.3">
      <c r="A1" s="35" t="s">
        <v>2</v>
      </c>
      <c r="B1" s="36"/>
      <c r="C1" s="2"/>
    </row>
    <row r="2" spans="1:6" x14ac:dyDescent="0.3">
      <c r="A2" s="6" t="s">
        <v>0</v>
      </c>
      <c r="B2" s="6" t="s">
        <v>1</v>
      </c>
    </row>
    <row r="3" spans="1:6" x14ac:dyDescent="0.3">
      <c r="A3" s="7">
        <v>0</v>
      </c>
      <c r="B3" s="7">
        <v>-800</v>
      </c>
    </row>
    <row r="4" spans="1:6" x14ac:dyDescent="0.3">
      <c r="A4" s="7">
        <v>1</v>
      </c>
      <c r="B4" s="7">
        <v>100</v>
      </c>
    </row>
    <row r="5" spans="1:6" x14ac:dyDescent="0.3">
      <c r="A5" s="7">
        <v>2</v>
      </c>
      <c r="B5" s="7">
        <v>200</v>
      </c>
    </row>
    <row r="6" spans="1:6" x14ac:dyDescent="0.3">
      <c r="A6" s="7">
        <v>3</v>
      </c>
      <c r="B6" s="7">
        <v>300</v>
      </c>
    </row>
    <row r="7" spans="1:6" x14ac:dyDescent="0.3">
      <c r="A7" s="7">
        <v>4</v>
      </c>
      <c r="B7" s="7">
        <v>400</v>
      </c>
    </row>
    <row r="8" spans="1:6" x14ac:dyDescent="0.3">
      <c r="A8" s="7">
        <v>5</v>
      </c>
      <c r="B8" s="7">
        <v>500</v>
      </c>
    </row>
    <row r="9" spans="1:6" x14ac:dyDescent="0.3">
      <c r="A9" s="4" t="s">
        <v>3</v>
      </c>
      <c r="B9" s="5">
        <f>IRR(B3:B8)</f>
        <v>0.19538198175630428</v>
      </c>
    </row>
    <row r="11" spans="1:6" x14ac:dyDescent="0.3">
      <c r="A11" s="9"/>
      <c r="B11" s="37" t="s">
        <v>4</v>
      </c>
      <c r="C11" s="37"/>
      <c r="D11" s="37"/>
      <c r="E11" s="10"/>
    </row>
    <row r="12" spans="1:6" x14ac:dyDescent="0.3">
      <c r="A12" s="9" t="s">
        <v>0</v>
      </c>
      <c r="B12" s="11" t="s">
        <v>5</v>
      </c>
      <c r="C12" s="11" t="s">
        <v>6</v>
      </c>
      <c r="D12" s="11" t="s">
        <v>7</v>
      </c>
      <c r="E12" s="10" t="s">
        <v>8</v>
      </c>
    </row>
    <row r="13" spans="1:6" x14ac:dyDescent="0.3">
      <c r="A13" s="7">
        <v>1</v>
      </c>
      <c r="B13" s="7">
        <f>-B3</f>
        <v>800</v>
      </c>
      <c r="C13" s="8">
        <f>B13*$B$9</f>
        <v>156.30558540504342</v>
      </c>
      <c r="D13" s="7">
        <f>B4</f>
        <v>100</v>
      </c>
      <c r="E13" s="8">
        <f>B13+C13-D13</f>
        <v>856.30558540504342</v>
      </c>
      <c r="F13" s="1" t="str">
        <f ca="1">"&lt;--"&amp;_xlfn.FORMULATEXT(E13)</f>
        <v>&lt;--=B13+C13-D13</v>
      </c>
    </row>
    <row r="14" spans="1:6" x14ac:dyDescent="0.3">
      <c r="A14" s="7">
        <v>2</v>
      </c>
      <c r="B14" s="8">
        <f>E13</f>
        <v>856.30558540504342</v>
      </c>
      <c r="C14" s="8">
        <f>B14*$B$9</f>
        <v>167.30668226542966</v>
      </c>
      <c r="D14" s="7">
        <f>B5</f>
        <v>200</v>
      </c>
      <c r="E14" s="8">
        <f>B14+C14-D14</f>
        <v>823.6122676704731</v>
      </c>
      <c r="F14" s="1" t="str">
        <f t="shared" ref="F14:F17" ca="1" si="0">"&lt;--"&amp;_xlfn.FORMULATEXT(E14)</f>
        <v>&lt;--=B14+C14-D14</v>
      </c>
    </row>
    <row r="15" spans="1:6" x14ac:dyDescent="0.3">
      <c r="A15" s="7">
        <v>3</v>
      </c>
      <c r="B15" s="8">
        <f t="shared" ref="B15:B17" si="1">E14</f>
        <v>823.6122676704731</v>
      </c>
      <c r="C15" s="8">
        <f>B15*$B$9</f>
        <v>160.91899705626076</v>
      </c>
      <c r="D15" s="7">
        <f>B6</f>
        <v>300</v>
      </c>
      <c r="E15" s="8">
        <f>B15+C15-D15</f>
        <v>684.53126472673387</v>
      </c>
      <c r="F15" s="1" t="str">
        <f t="shared" ca="1" si="0"/>
        <v>&lt;--=B15+C15-D15</v>
      </c>
    </row>
    <row r="16" spans="1:6" x14ac:dyDescent="0.3">
      <c r="A16" s="7">
        <v>4</v>
      </c>
      <c r="B16" s="8">
        <f t="shared" si="1"/>
        <v>684.53126472673387</v>
      </c>
      <c r="C16" s="8">
        <f>B16*$B$9</f>
        <v>133.74507507645862</v>
      </c>
      <c r="D16" s="7">
        <f>B7</f>
        <v>400</v>
      </c>
      <c r="E16" s="8">
        <f>B16+C16-D16</f>
        <v>418.27633980319251</v>
      </c>
      <c r="F16" s="1" t="str">
        <f t="shared" ca="1" si="0"/>
        <v>&lt;--=B16+C16-D16</v>
      </c>
    </row>
    <row r="17" spans="1:11" x14ac:dyDescent="0.3">
      <c r="A17" s="7">
        <v>5</v>
      </c>
      <c r="B17" s="8">
        <f t="shared" si="1"/>
        <v>418.27633980319251</v>
      </c>
      <c r="C17" s="8">
        <f>B17*$B$9</f>
        <v>81.723660192521095</v>
      </c>
      <c r="D17" s="7">
        <f>B8</f>
        <v>500</v>
      </c>
      <c r="E17" s="8">
        <f>B17+C17-D17</f>
        <v>-4.28639168603695E-9</v>
      </c>
      <c r="F17" s="1" t="str">
        <f t="shared" ca="1" si="0"/>
        <v>&lt;--=B17+C17-D17</v>
      </c>
    </row>
    <row r="18" spans="1:11" x14ac:dyDescent="0.3">
      <c r="B18" s="12"/>
      <c r="C18" s="12"/>
      <c r="E18" s="12"/>
    </row>
    <row r="19" spans="1:11" x14ac:dyDescent="0.3">
      <c r="A19" s="27" t="s">
        <v>9</v>
      </c>
    </row>
    <row r="20" spans="1:11" x14ac:dyDescent="0.3">
      <c r="A20" s="26" t="s">
        <v>0</v>
      </c>
      <c r="B20" s="26" t="s">
        <v>1</v>
      </c>
    </row>
    <row r="21" spans="1:11" x14ac:dyDescent="0.3">
      <c r="A21" s="7">
        <v>0</v>
      </c>
      <c r="B21" s="7">
        <v>-800</v>
      </c>
    </row>
    <row r="22" spans="1:11" x14ac:dyDescent="0.3">
      <c r="A22" s="7">
        <v>1</v>
      </c>
      <c r="B22" s="7">
        <v>100</v>
      </c>
    </row>
    <row r="23" spans="1:11" x14ac:dyDescent="0.3">
      <c r="A23" s="7">
        <v>2</v>
      </c>
      <c r="B23" s="7">
        <v>200</v>
      </c>
    </row>
    <row r="24" spans="1:11" x14ac:dyDescent="0.3">
      <c r="A24" s="7">
        <v>3</v>
      </c>
      <c r="B24" s="7">
        <v>300</v>
      </c>
    </row>
    <row r="25" spans="1:11" x14ac:dyDescent="0.3">
      <c r="A25" s="7">
        <v>4</v>
      </c>
      <c r="B25" s="7">
        <v>400</v>
      </c>
    </row>
    <row r="26" spans="1:11" x14ac:dyDescent="0.3">
      <c r="A26" s="7">
        <v>5</v>
      </c>
      <c r="B26" s="7">
        <v>500</v>
      </c>
    </row>
    <row r="27" spans="1:11" x14ac:dyDescent="0.3">
      <c r="A27" s="4" t="s">
        <v>3</v>
      </c>
      <c r="B27" s="5">
        <v>0.19538198245462232</v>
      </c>
      <c r="D27" s="49" t="s">
        <v>27</v>
      </c>
      <c r="E27" s="49"/>
      <c r="F27" s="49"/>
      <c r="G27" s="49"/>
      <c r="H27" s="49"/>
      <c r="I27" s="49"/>
      <c r="J27" s="49"/>
      <c r="K27" s="49"/>
    </row>
    <row r="29" spans="1:11" x14ac:dyDescent="0.3">
      <c r="A29" s="9"/>
      <c r="B29" s="37" t="s">
        <v>4</v>
      </c>
      <c r="C29" s="37"/>
      <c r="D29" s="37"/>
      <c r="E29" s="10"/>
    </row>
    <row r="30" spans="1:11" x14ac:dyDescent="0.3">
      <c r="A30" s="9" t="s">
        <v>0</v>
      </c>
      <c r="B30" s="11" t="s">
        <v>5</v>
      </c>
      <c r="C30" s="11" t="s">
        <v>6</v>
      </c>
      <c r="D30" s="11" t="s">
        <v>7</v>
      </c>
      <c r="E30" s="10" t="s">
        <v>8</v>
      </c>
    </row>
    <row r="31" spans="1:11" x14ac:dyDescent="0.3">
      <c r="A31" s="7">
        <v>1</v>
      </c>
      <c r="B31" s="7">
        <f>-B21</f>
        <v>800</v>
      </c>
      <c r="C31" s="8">
        <f>B31*$B$27</f>
        <v>156.30558596369787</v>
      </c>
      <c r="D31" s="7">
        <f>B22</f>
        <v>100</v>
      </c>
      <c r="E31" s="8">
        <f>B31+C31-D31</f>
        <v>856.30558596369792</v>
      </c>
      <c r="F31" s="1" t="str">
        <f>""</f>
        <v/>
      </c>
    </row>
    <row r="32" spans="1:11" x14ac:dyDescent="0.3">
      <c r="A32" s="7">
        <v>2</v>
      </c>
      <c r="B32" s="8">
        <f>E31</f>
        <v>856.30558596369792</v>
      </c>
      <c r="C32" s="8">
        <f t="shared" ref="C32:C35" si="2">B32*$B$27</f>
        <v>167.30668297255431</v>
      </c>
      <c r="D32" s="7">
        <f>B23</f>
        <v>200</v>
      </c>
      <c r="E32" s="8">
        <f>B32+C32-D32</f>
        <v>823.61226893625224</v>
      </c>
    </row>
    <row r="33" spans="1:5" x14ac:dyDescent="0.3">
      <c r="A33" s="7">
        <v>3</v>
      </c>
      <c r="B33" s="8">
        <f t="shared" ref="B33:B35" si="3">E32</f>
        <v>823.61226893625224</v>
      </c>
      <c r="C33" s="8">
        <f t="shared" si="2"/>
        <v>160.91899787871452</v>
      </c>
      <c r="D33" s="7">
        <f>B24</f>
        <v>300</v>
      </c>
      <c r="E33" s="8">
        <f>B33+C33-D33</f>
        <v>684.53126681496678</v>
      </c>
    </row>
    <row r="34" spans="1:5" x14ac:dyDescent="0.3">
      <c r="A34" s="7">
        <v>4</v>
      </c>
      <c r="B34" s="8">
        <f t="shared" si="3"/>
        <v>684.53126681496678</v>
      </c>
      <c r="C34" s="8">
        <f t="shared" si="2"/>
        <v>133.74507596248222</v>
      </c>
      <c r="D34" s="7">
        <f>B25</f>
        <v>400</v>
      </c>
      <c r="E34" s="8">
        <f>B34+C34-D34</f>
        <v>418.27634277744903</v>
      </c>
    </row>
    <row r="35" spans="1:5" x14ac:dyDescent="0.3">
      <c r="A35" s="7">
        <v>5</v>
      </c>
      <c r="B35" s="8">
        <f t="shared" si="3"/>
        <v>418.27634277744903</v>
      </c>
      <c r="C35" s="8">
        <f t="shared" si="2"/>
        <v>81.723661065727143</v>
      </c>
      <c r="D35" s="7">
        <f>B26</f>
        <v>500</v>
      </c>
      <c r="E35" s="8">
        <f>B35+C35-D35</f>
        <v>3.843176159534778E-6</v>
      </c>
    </row>
  </sheetData>
  <mergeCells count="4">
    <mergeCell ref="A1:B1"/>
    <mergeCell ref="B11:D11"/>
    <mergeCell ref="B29:D29"/>
    <mergeCell ref="D27:K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AEA5-86F2-4D44-A285-534793D496F7}">
  <sheetPr>
    <tabColor theme="9" tint="0.39997558519241921"/>
  </sheetPr>
  <dimension ref="B1:I39"/>
  <sheetViews>
    <sheetView workbookViewId="0">
      <selection activeCell="C5" sqref="C5"/>
    </sheetView>
  </sheetViews>
  <sheetFormatPr defaultRowHeight="15.6" x14ac:dyDescent="0.3"/>
  <cols>
    <col min="1" max="1" width="3.21875" style="43" customWidth="1"/>
    <col min="2" max="2" width="42.33203125" style="43" bestFit="1" customWidth="1"/>
    <col min="3" max="3" width="10.33203125" style="43" bestFit="1" customWidth="1"/>
    <col min="4" max="4" width="22.109375" style="43" bestFit="1" customWidth="1"/>
    <col min="5" max="16384" width="8.88671875" style="43"/>
  </cols>
  <sheetData>
    <row r="1" spans="2:9" ht="40.799999999999997" customHeight="1" x14ac:dyDescent="0.3">
      <c r="B1" s="48" t="s">
        <v>24</v>
      </c>
      <c r="C1" s="42" t="s">
        <v>26</v>
      </c>
      <c r="D1" s="42"/>
      <c r="E1" s="42"/>
      <c r="F1" s="42"/>
      <c r="G1" s="42"/>
      <c r="H1" s="42"/>
      <c r="I1" s="42"/>
    </row>
    <row r="2" spans="2:9" x14ac:dyDescent="0.3">
      <c r="B2" s="43" t="s">
        <v>21</v>
      </c>
      <c r="C2" s="43">
        <v>1000</v>
      </c>
    </row>
    <row r="3" spans="2:9" x14ac:dyDescent="0.3">
      <c r="B3" s="43" t="s">
        <v>22</v>
      </c>
      <c r="C3" s="43">
        <v>100</v>
      </c>
    </row>
    <row r="4" spans="2:9" ht="16.2" thickBot="1" x14ac:dyDescent="0.35">
      <c r="B4" s="44" t="s">
        <v>23</v>
      </c>
      <c r="C4" s="44">
        <v>30</v>
      </c>
    </row>
    <row r="5" spans="2:9" x14ac:dyDescent="0.3">
      <c r="B5" s="45" t="s">
        <v>3</v>
      </c>
      <c r="C5" s="47">
        <f>RATE(C4,C3,-C2)</f>
        <v>9.3073397717987436E-2</v>
      </c>
      <c r="D5" s="43" t="str">
        <f ca="1">"&lt;--"&amp;_xlfn.FORMULATEXT(C5)</f>
        <v>&lt;--=RATE(C4,C3,-C2)</v>
      </c>
    </row>
    <row r="7" spans="2:9" x14ac:dyDescent="0.3">
      <c r="B7" s="43" t="s">
        <v>0</v>
      </c>
      <c r="C7" s="46" t="s">
        <v>25</v>
      </c>
    </row>
    <row r="8" spans="2:9" x14ac:dyDescent="0.3">
      <c r="B8" s="43">
        <v>0</v>
      </c>
      <c r="C8" s="43">
        <v>-1000</v>
      </c>
    </row>
    <row r="9" spans="2:9" x14ac:dyDescent="0.3">
      <c r="B9" s="43">
        <v>1</v>
      </c>
      <c r="C9" s="43">
        <v>100</v>
      </c>
    </row>
    <row r="10" spans="2:9" x14ac:dyDescent="0.3">
      <c r="B10" s="43">
        <v>2</v>
      </c>
      <c r="C10" s="43">
        <v>100</v>
      </c>
    </row>
    <row r="11" spans="2:9" x14ac:dyDescent="0.3">
      <c r="B11" s="43">
        <v>3</v>
      </c>
      <c r="C11" s="43">
        <v>100</v>
      </c>
    </row>
    <row r="12" spans="2:9" x14ac:dyDescent="0.3">
      <c r="B12" s="43">
        <v>4</v>
      </c>
      <c r="C12" s="43">
        <v>100</v>
      </c>
    </row>
    <row r="13" spans="2:9" x14ac:dyDescent="0.3">
      <c r="B13" s="43">
        <v>5</v>
      </c>
      <c r="C13" s="43">
        <v>100</v>
      </c>
    </row>
    <row r="14" spans="2:9" x14ac:dyDescent="0.3">
      <c r="B14" s="43">
        <v>6</v>
      </c>
      <c r="C14" s="43">
        <v>100</v>
      </c>
    </row>
    <row r="15" spans="2:9" x14ac:dyDescent="0.3">
      <c r="B15" s="43">
        <v>7</v>
      </c>
      <c r="C15" s="43">
        <v>100</v>
      </c>
    </row>
    <row r="16" spans="2:9" x14ac:dyDescent="0.3">
      <c r="B16" s="43">
        <v>8</v>
      </c>
      <c r="C16" s="43">
        <v>100</v>
      </c>
    </row>
    <row r="17" spans="2:3" x14ac:dyDescent="0.3">
      <c r="B17" s="43">
        <v>9</v>
      </c>
      <c r="C17" s="43">
        <v>100</v>
      </c>
    </row>
    <row r="18" spans="2:3" x14ac:dyDescent="0.3">
      <c r="B18" s="43">
        <v>10</v>
      </c>
      <c r="C18" s="43">
        <v>100</v>
      </c>
    </row>
    <row r="19" spans="2:3" x14ac:dyDescent="0.3">
      <c r="B19" s="43">
        <v>11</v>
      </c>
      <c r="C19" s="43">
        <v>100</v>
      </c>
    </row>
    <row r="20" spans="2:3" x14ac:dyDescent="0.3">
      <c r="B20" s="43">
        <v>12</v>
      </c>
      <c r="C20" s="43">
        <v>100</v>
      </c>
    </row>
    <row r="21" spans="2:3" x14ac:dyDescent="0.3">
      <c r="B21" s="43">
        <v>13</v>
      </c>
      <c r="C21" s="43">
        <v>100</v>
      </c>
    </row>
    <row r="22" spans="2:3" x14ac:dyDescent="0.3">
      <c r="B22" s="43">
        <v>14</v>
      </c>
      <c r="C22" s="43">
        <v>100</v>
      </c>
    </row>
    <row r="23" spans="2:3" x14ac:dyDescent="0.3">
      <c r="B23" s="43">
        <v>15</v>
      </c>
      <c r="C23" s="43">
        <v>100</v>
      </c>
    </row>
    <row r="24" spans="2:3" x14ac:dyDescent="0.3">
      <c r="B24" s="43">
        <v>16</v>
      </c>
      <c r="C24" s="43">
        <v>100</v>
      </c>
    </row>
    <row r="25" spans="2:3" x14ac:dyDescent="0.3">
      <c r="B25" s="43">
        <v>17</v>
      </c>
      <c r="C25" s="43">
        <v>100</v>
      </c>
    </row>
    <row r="26" spans="2:3" x14ac:dyDescent="0.3">
      <c r="B26" s="43">
        <v>18</v>
      </c>
      <c r="C26" s="43">
        <v>100</v>
      </c>
    </row>
    <row r="27" spans="2:3" x14ac:dyDescent="0.3">
      <c r="B27" s="43">
        <v>19</v>
      </c>
      <c r="C27" s="43">
        <v>100</v>
      </c>
    </row>
    <row r="28" spans="2:3" x14ac:dyDescent="0.3">
      <c r="B28" s="43">
        <v>20</v>
      </c>
      <c r="C28" s="43">
        <v>100</v>
      </c>
    </row>
    <row r="29" spans="2:3" x14ac:dyDescent="0.3">
      <c r="B29" s="43">
        <v>21</v>
      </c>
      <c r="C29" s="43">
        <v>100</v>
      </c>
    </row>
    <row r="30" spans="2:3" x14ac:dyDescent="0.3">
      <c r="B30" s="43">
        <v>22</v>
      </c>
      <c r="C30" s="43">
        <v>100</v>
      </c>
    </row>
    <row r="31" spans="2:3" x14ac:dyDescent="0.3">
      <c r="B31" s="43">
        <v>23</v>
      </c>
      <c r="C31" s="43">
        <v>100</v>
      </c>
    </row>
    <row r="32" spans="2:3" x14ac:dyDescent="0.3">
      <c r="B32" s="43">
        <v>24</v>
      </c>
      <c r="C32" s="43">
        <v>100</v>
      </c>
    </row>
    <row r="33" spans="2:3" x14ac:dyDescent="0.3">
      <c r="B33" s="43">
        <v>25</v>
      </c>
      <c r="C33" s="43">
        <v>100</v>
      </c>
    </row>
    <row r="34" spans="2:3" x14ac:dyDescent="0.3">
      <c r="B34" s="43">
        <v>26</v>
      </c>
      <c r="C34" s="43">
        <v>100</v>
      </c>
    </row>
    <row r="35" spans="2:3" x14ac:dyDescent="0.3">
      <c r="B35" s="43">
        <v>27</v>
      </c>
      <c r="C35" s="43">
        <v>100</v>
      </c>
    </row>
    <row r="36" spans="2:3" x14ac:dyDescent="0.3">
      <c r="B36" s="43">
        <v>28</v>
      </c>
      <c r="C36" s="43">
        <v>100</v>
      </c>
    </row>
    <row r="37" spans="2:3" x14ac:dyDescent="0.3">
      <c r="B37" s="43">
        <v>29</v>
      </c>
      <c r="C37" s="43">
        <v>100</v>
      </c>
    </row>
    <row r="38" spans="2:3" x14ac:dyDescent="0.3">
      <c r="B38" s="43">
        <v>30</v>
      </c>
      <c r="C38" s="43">
        <v>100</v>
      </c>
    </row>
    <row r="39" spans="2:3" x14ac:dyDescent="0.3">
      <c r="B39" s="43" t="s">
        <v>3</v>
      </c>
      <c r="C39" s="47">
        <f>IRR(C8:C38,0)</f>
        <v>9.3073397717583939E-2</v>
      </c>
    </row>
  </sheetData>
  <mergeCells count="1">
    <mergeCell ref="C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06C2-7098-4B76-9B0C-1192238F41BF}">
  <sheetPr>
    <tabColor theme="9" tint="0.59999389629810485"/>
  </sheetPr>
  <dimension ref="A1:U27"/>
  <sheetViews>
    <sheetView topLeftCell="N1" workbookViewId="0">
      <selection activeCell="T4" sqref="T4:U17"/>
    </sheetView>
  </sheetViews>
  <sheetFormatPr defaultRowHeight="13.8" x14ac:dyDescent="0.3"/>
  <cols>
    <col min="1" max="1" width="11.88671875" style="13" bestFit="1" customWidth="1"/>
    <col min="2" max="2" width="16.77734375" style="13" bestFit="1" customWidth="1"/>
    <col min="3" max="4" width="8.88671875" style="13"/>
    <col min="5" max="5" width="12.88671875" style="13" customWidth="1"/>
    <col min="6" max="6" width="10.109375" style="13" customWidth="1"/>
    <col min="7" max="14" width="8.88671875" style="13"/>
    <col min="15" max="15" width="8.88671875" style="1"/>
    <col min="16" max="16" width="36.109375" style="1" customWidth="1"/>
    <col min="17" max="17" width="18.88671875" style="14" customWidth="1"/>
    <col min="18" max="18" width="21" style="14" customWidth="1"/>
    <col min="19" max="19" width="8.88671875" style="14"/>
    <col min="20" max="20" width="11" style="14" bestFit="1" customWidth="1"/>
    <col min="21" max="16384" width="8.88671875" style="14"/>
  </cols>
  <sheetData>
    <row r="1" spans="1:21" x14ac:dyDescent="0.3">
      <c r="A1" s="38" t="s">
        <v>14</v>
      </c>
      <c r="B1" s="38"/>
    </row>
    <row r="2" spans="1:21" x14ac:dyDescent="0.3">
      <c r="A2" s="16" t="s">
        <v>13</v>
      </c>
      <c r="B2" s="18">
        <v>0.06</v>
      </c>
    </row>
    <row r="3" spans="1:21" x14ac:dyDescent="0.3">
      <c r="A3" s="16" t="s">
        <v>12</v>
      </c>
      <c r="B3" s="19">
        <f>NPV(B2,B8:B12)+B7</f>
        <v>-3.9854362682000044</v>
      </c>
    </row>
    <row r="4" spans="1:21" x14ac:dyDescent="0.3">
      <c r="Q4" s="39" t="s">
        <v>15</v>
      </c>
      <c r="R4" s="39"/>
      <c r="S4" s="23"/>
      <c r="T4" s="16" t="s">
        <v>11</v>
      </c>
      <c r="U4" s="16" t="s">
        <v>12</v>
      </c>
    </row>
    <row r="5" spans="1:21" x14ac:dyDescent="0.3">
      <c r="E5" s="16" t="s">
        <v>11</v>
      </c>
      <c r="F5" s="16" t="s">
        <v>12</v>
      </c>
      <c r="Q5" s="22" t="s">
        <v>16</v>
      </c>
      <c r="R5" s="22" t="s">
        <v>12</v>
      </c>
      <c r="T5" s="17"/>
      <c r="U5" s="19">
        <f>B3</f>
        <v>-3.9854362682000044</v>
      </c>
    </row>
    <row r="6" spans="1:21" x14ac:dyDescent="0.3">
      <c r="A6" s="16" t="s">
        <v>0</v>
      </c>
      <c r="B6" s="16" t="s">
        <v>10</v>
      </c>
      <c r="E6" s="17"/>
      <c r="F6" s="19">
        <f>NPV(B2,B8:B12)+B7</f>
        <v>-3.9854362682000044</v>
      </c>
      <c r="Q6" s="20"/>
      <c r="R6" s="21">
        <f>NPV(B2,B8:B12)+B7</f>
        <v>-3.9854362682000044</v>
      </c>
      <c r="T6" s="18">
        <v>0</v>
      </c>
      <c r="U6" s="19">
        <f t="dataTable" ref="U6:U19" dt2D="0" dtr="0" r1="B2" ca="1"/>
        <v>-20</v>
      </c>
    </row>
    <row r="7" spans="1:21" x14ac:dyDescent="0.3">
      <c r="A7" s="17">
        <v>0</v>
      </c>
      <c r="B7" s="17">
        <v>-145</v>
      </c>
      <c r="E7" s="18">
        <v>0</v>
      </c>
      <c r="F7" s="19">
        <f>NPV(E7,$B$8:$B$12)+$B$7</f>
        <v>-20</v>
      </c>
      <c r="Q7" s="18">
        <v>0</v>
      </c>
      <c r="R7" s="21">
        <f t="dataTable" ref="R7:R20" dt2D="0" dtr="0" r1="B2"/>
        <v>-20</v>
      </c>
      <c r="T7" s="18">
        <v>0.03</v>
      </c>
      <c r="U7" s="19">
        <v>-10.507575424608092</v>
      </c>
    </row>
    <row r="8" spans="1:21" x14ac:dyDescent="0.3">
      <c r="A8" s="17">
        <v>1</v>
      </c>
      <c r="B8" s="17">
        <v>100</v>
      </c>
      <c r="E8" s="18">
        <v>0.03</v>
      </c>
      <c r="F8" s="19">
        <f>NPV(E8,$B$8:$B$12)+$B$7</f>
        <v>-10.507575424608092</v>
      </c>
      <c r="Q8" s="18">
        <v>0.03</v>
      </c>
      <c r="R8" s="21">
        <v>-10.507575424608092</v>
      </c>
      <c r="T8" s="18">
        <v>0.06</v>
      </c>
      <c r="U8" s="19">
        <v>-3.9854362682000044</v>
      </c>
    </row>
    <row r="9" spans="1:21" x14ac:dyDescent="0.3">
      <c r="A9" s="17">
        <v>2</v>
      </c>
      <c r="B9" s="17">
        <v>100</v>
      </c>
      <c r="E9" s="18">
        <v>0.06</v>
      </c>
      <c r="F9" s="19">
        <f t="shared" ref="F8:F20" si="0">NPV(E9,$B$8:$B$12)+$B$7</f>
        <v>-3.9854362682000044</v>
      </c>
      <c r="Q9" s="18">
        <v>0.06</v>
      </c>
      <c r="R9" s="21">
        <v>-3.9854362682000044</v>
      </c>
      <c r="T9" s="18">
        <v>0.09</v>
      </c>
      <c r="U9" s="19">
        <v>0.24085647329212634</v>
      </c>
    </row>
    <row r="10" spans="1:21" x14ac:dyDescent="0.3">
      <c r="A10" s="17">
        <v>3</v>
      </c>
      <c r="B10" s="17">
        <v>100</v>
      </c>
      <c r="E10" s="18">
        <v>0.09</v>
      </c>
      <c r="F10" s="19">
        <f t="shared" si="0"/>
        <v>0.24085647329212634</v>
      </c>
      <c r="Q10" s="18">
        <v>0.09</v>
      </c>
      <c r="R10" s="21">
        <v>0.24085647329212634</v>
      </c>
      <c r="T10" s="18">
        <v>0.12</v>
      </c>
      <c r="U10" s="19">
        <v>2.6925493400257778</v>
      </c>
    </row>
    <row r="11" spans="1:21" x14ac:dyDescent="0.3">
      <c r="A11" s="17">
        <v>4</v>
      </c>
      <c r="B11" s="17">
        <v>100</v>
      </c>
      <c r="E11" s="18">
        <v>0.12</v>
      </c>
      <c r="F11" s="19">
        <f t="shared" si="0"/>
        <v>2.6925493400257778</v>
      </c>
      <c r="Q11" s="18">
        <v>0.12</v>
      </c>
      <c r="R11" s="21">
        <v>2.6925493400257778</v>
      </c>
      <c r="T11" s="18">
        <v>0.15</v>
      </c>
      <c r="U11" s="19">
        <v>3.7742340642815009</v>
      </c>
    </row>
    <row r="12" spans="1:21" x14ac:dyDescent="0.3">
      <c r="A12" s="17">
        <v>5</v>
      </c>
      <c r="B12" s="17">
        <v>-275</v>
      </c>
      <c r="E12" s="18">
        <v>0.15</v>
      </c>
      <c r="F12" s="19">
        <f t="shared" si="0"/>
        <v>3.7742340642815009</v>
      </c>
      <c r="Q12" s="18">
        <v>0.15</v>
      </c>
      <c r="R12" s="21">
        <v>3.7742340642815009</v>
      </c>
      <c r="T12" s="18">
        <v>0.18</v>
      </c>
      <c r="U12" s="19">
        <v>3.8011460077677839</v>
      </c>
    </row>
    <row r="13" spans="1:21" x14ac:dyDescent="0.3">
      <c r="E13" s="18">
        <v>0.18</v>
      </c>
      <c r="F13" s="19">
        <f t="shared" si="0"/>
        <v>3.8011460077677839</v>
      </c>
      <c r="Q13" s="18">
        <v>0.18</v>
      </c>
      <c r="R13" s="21">
        <v>3.8011460077677839</v>
      </c>
      <c r="T13" s="18">
        <v>0.21</v>
      </c>
      <c r="U13" s="19">
        <v>3.0197000689104811</v>
      </c>
    </row>
    <row r="14" spans="1:21" x14ac:dyDescent="0.3">
      <c r="E14" s="18">
        <v>0.21</v>
      </c>
      <c r="F14" s="19">
        <f t="shared" si="0"/>
        <v>3.0197000689104811</v>
      </c>
      <c r="Q14" s="18">
        <v>0.21</v>
      </c>
      <c r="R14" s="21">
        <v>3.0197000689104811</v>
      </c>
      <c r="T14" s="18">
        <v>0.24</v>
      </c>
      <c r="U14" s="19">
        <v>1.6230390485557962</v>
      </c>
    </row>
    <row r="15" spans="1:21" x14ac:dyDescent="0.3">
      <c r="E15" s="18">
        <v>0.24</v>
      </c>
      <c r="F15" s="19">
        <f t="shared" si="0"/>
        <v>1.6230390485557962</v>
      </c>
      <c r="Q15" s="18">
        <v>0.24</v>
      </c>
      <c r="R15" s="21">
        <v>1.6230390485557962</v>
      </c>
      <c r="T15" s="18">
        <v>0.27</v>
      </c>
      <c r="U15" s="19">
        <v>-0.237122901511583</v>
      </c>
    </row>
    <row r="16" spans="1:21" x14ac:dyDescent="0.3">
      <c r="A16" s="25" t="s">
        <v>17</v>
      </c>
      <c r="E16" s="18">
        <v>0.27</v>
      </c>
      <c r="F16" s="19">
        <f t="shared" si="0"/>
        <v>-0.237122901511583</v>
      </c>
      <c r="Q16" s="18">
        <v>0.27</v>
      </c>
      <c r="R16" s="21">
        <v>-0.237122901511583</v>
      </c>
      <c r="T16" s="18">
        <v>0.3</v>
      </c>
      <c r="U16" s="19">
        <v>-2.4414276595572915</v>
      </c>
    </row>
    <row r="17" spans="1:21" x14ac:dyDescent="0.3">
      <c r="A17" s="24">
        <f>IRR(B7:B12)</f>
        <v>8.7828273849846816E-2</v>
      </c>
      <c r="E17" s="18">
        <v>0.3</v>
      </c>
      <c r="F17" s="19">
        <f t="shared" si="0"/>
        <v>-2.4414276595572915</v>
      </c>
      <c r="Q17" s="18">
        <v>0.3</v>
      </c>
      <c r="R17" s="21">
        <v>-2.4414276595572915</v>
      </c>
      <c r="T17" s="18">
        <v>0.33</v>
      </c>
      <c r="U17" s="19">
        <v>-4.895886047904952</v>
      </c>
    </row>
    <row r="18" spans="1:21" x14ac:dyDescent="0.3">
      <c r="A18" s="24">
        <f>IRR(B7:B12,0.5)</f>
        <v>0.26649500716766861</v>
      </c>
      <c r="E18" s="18">
        <v>0.33</v>
      </c>
      <c r="F18" s="19">
        <f t="shared" si="0"/>
        <v>-4.895886047904952</v>
      </c>
      <c r="Q18" s="18">
        <v>0.33</v>
      </c>
      <c r="R18" s="21">
        <v>-4.895886047904952</v>
      </c>
      <c r="T18" s="18">
        <v>0.36</v>
      </c>
      <c r="U18" s="19">
        <v>-7.5264699851816204</v>
      </c>
    </row>
    <row r="19" spans="1:21" x14ac:dyDescent="0.3">
      <c r="E19" s="18">
        <v>0.36</v>
      </c>
      <c r="F19" s="19">
        <f t="shared" si="0"/>
        <v>-7.5264699851816204</v>
      </c>
      <c r="Q19" s="18">
        <v>0.36</v>
      </c>
      <c r="R19" s="21">
        <v>-7.5264699851816204</v>
      </c>
      <c r="T19" s="18">
        <v>0.39</v>
      </c>
      <c r="U19" s="19">
        <v>-10.274907341794687</v>
      </c>
    </row>
    <row r="20" spans="1:21" x14ac:dyDescent="0.3">
      <c r="B20" s="50"/>
      <c r="E20" s="18">
        <v>0.39</v>
      </c>
      <c r="F20" s="19">
        <f t="shared" si="0"/>
        <v>-10.274907341794687</v>
      </c>
      <c r="Q20" s="18">
        <v>0.39</v>
      </c>
      <c r="R20" s="21">
        <v>-10.274907341794687</v>
      </c>
    </row>
    <row r="21" spans="1:21" x14ac:dyDescent="0.3">
      <c r="E21" s="15"/>
    </row>
    <row r="22" spans="1:21" x14ac:dyDescent="0.3">
      <c r="E22" s="15"/>
    </row>
    <row r="23" spans="1:21" x14ac:dyDescent="0.3">
      <c r="E23" s="15"/>
    </row>
    <row r="24" spans="1:21" x14ac:dyDescent="0.3">
      <c r="E24" s="15"/>
    </row>
    <row r="25" spans="1:21" x14ac:dyDescent="0.3">
      <c r="E25" s="15"/>
    </row>
    <row r="26" spans="1:21" x14ac:dyDescent="0.3">
      <c r="E26" s="15"/>
    </row>
    <row r="27" spans="1:21" x14ac:dyDescent="0.3">
      <c r="E27" s="15"/>
    </row>
  </sheetData>
  <mergeCells count="2">
    <mergeCell ref="A1:B1"/>
    <mergeCell ref="Q4:R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B553-4B05-4912-A51E-068B285966C3}">
  <dimension ref="A1:G21"/>
  <sheetViews>
    <sheetView workbookViewId="0">
      <selection activeCell="E9" sqref="E9"/>
    </sheetView>
  </sheetViews>
  <sheetFormatPr defaultRowHeight="14.4" x14ac:dyDescent="0.3"/>
  <sheetData>
    <row r="1" spans="1:7" x14ac:dyDescent="0.3">
      <c r="A1" s="40" t="s">
        <v>18</v>
      </c>
      <c r="B1" s="40"/>
      <c r="C1" s="40"/>
      <c r="D1" s="40"/>
      <c r="E1" s="40"/>
      <c r="F1" s="40"/>
      <c r="G1" s="40"/>
    </row>
    <row r="2" spans="1:7" x14ac:dyDescent="0.3">
      <c r="A2" s="13"/>
      <c r="B2" s="13"/>
      <c r="C2" s="13"/>
      <c r="D2" s="13"/>
      <c r="E2" s="13"/>
      <c r="F2" s="13"/>
      <c r="G2" s="13"/>
    </row>
    <row r="3" spans="1:7" x14ac:dyDescent="0.3">
      <c r="A3" s="14"/>
      <c r="B3" s="14"/>
      <c r="C3" s="1"/>
      <c r="D3" s="41" t="s">
        <v>19</v>
      </c>
      <c r="E3" s="41"/>
      <c r="F3" s="41"/>
      <c r="G3" s="41"/>
    </row>
    <row r="4" spans="1:7" x14ac:dyDescent="0.3">
      <c r="A4" s="14"/>
      <c r="B4" s="14"/>
      <c r="C4" s="1"/>
      <c r="D4" s="14"/>
      <c r="E4" s="14"/>
      <c r="F4" s="14"/>
      <c r="G4" s="14"/>
    </row>
    <row r="5" spans="1:7" x14ac:dyDescent="0.3">
      <c r="A5" s="28" t="s">
        <v>0</v>
      </c>
      <c r="B5" s="28" t="s">
        <v>10</v>
      </c>
      <c r="C5" s="1"/>
      <c r="D5" s="30" t="s">
        <v>20</v>
      </c>
      <c r="E5" s="30" t="s">
        <v>12</v>
      </c>
      <c r="F5" s="14"/>
      <c r="G5" s="14"/>
    </row>
    <row r="6" spans="1:7" x14ac:dyDescent="0.3">
      <c r="A6" s="29">
        <v>0</v>
      </c>
      <c r="B6" s="29">
        <v>-800</v>
      </c>
      <c r="C6" s="1"/>
      <c r="D6" s="31">
        <v>0</v>
      </c>
      <c r="E6" s="21">
        <f>NPV(D6,$B$7:$B$16)+$B$6</f>
        <v>1200</v>
      </c>
      <c r="F6" s="14"/>
      <c r="G6" s="14"/>
    </row>
    <row r="7" spans="1:7" x14ac:dyDescent="0.3">
      <c r="A7" s="29">
        <v>1</v>
      </c>
      <c r="B7" s="29">
        <v>100</v>
      </c>
      <c r="C7" s="14"/>
      <c r="D7" s="31">
        <v>0.02</v>
      </c>
      <c r="E7" s="21">
        <f t="shared" ref="E7:E16" si="0">NPV(D7,$B$7:$B$16)+$B$6</f>
        <v>918.60680049937878</v>
      </c>
      <c r="F7" s="14"/>
      <c r="G7" s="14"/>
    </row>
    <row r="8" spans="1:7" x14ac:dyDescent="0.3">
      <c r="A8" s="29">
        <v>2</v>
      </c>
      <c r="B8" s="29">
        <v>100</v>
      </c>
      <c r="C8" s="14"/>
      <c r="D8" s="31">
        <v>0.04</v>
      </c>
      <c r="E8" s="21">
        <f t="shared" si="0"/>
        <v>686.65374676130136</v>
      </c>
      <c r="F8" s="14"/>
      <c r="G8" s="14"/>
    </row>
    <row r="9" spans="1:7" x14ac:dyDescent="0.3">
      <c r="A9" s="29">
        <v>3</v>
      </c>
      <c r="B9" s="29">
        <v>100</v>
      </c>
      <c r="C9" s="14"/>
      <c r="D9" s="31">
        <v>0.06</v>
      </c>
      <c r="E9" s="21">
        <f t="shared" si="0"/>
        <v>494.40348205658734</v>
      </c>
      <c r="F9" s="14"/>
      <c r="G9" s="14"/>
    </row>
    <row r="10" spans="1:7" x14ac:dyDescent="0.3">
      <c r="A10" s="29">
        <v>4</v>
      </c>
      <c r="B10" s="29">
        <v>100</v>
      </c>
      <c r="C10" s="14"/>
      <c r="D10" s="31">
        <v>0.08</v>
      </c>
      <c r="E10" s="21">
        <f t="shared" si="0"/>
        <v>334.20162797882836</v>
      </c>
      <c r="F10" s="14"/>
      <c r="G10" s="14"/>
    </row>
    <row r="11" spans="1:7" x14ac:dyDescent="0.3">
      <c r="A11" s="29">
        <v>5</v>
      </c>
      <c r="B11" s="29">
        <v>100</v>
      </c>
      <c r="C11" s="14"/>
      <c r="D11" s="31">
        <v>0.1</v>
      </c>
      <c r="E11" s="21">
        <f t="shared" si="0"/>
        <v>199.99999999999955</v>
      </c>
      <c r="F11" s="14"/>
      <c r="G11" s="14"/>
    </row>
    <row r="12" spans="1:7" x14ac:dyDescent="0.3">
      <c r="A12" s="29">
        <v>6</v>
      </c>
      <c r="B12" s="29">
        <v>100</v>
      </c>
      <c r="C12" s="14"/>
      <c r="D12" s="31">
        <v>0.12</v>
      </c>
      <c r="E12" s="21">
        <f t="shared" si="0"/>
        <v>86.995539431782163</v>
      </c>
      <c r="F12" s="14"/>
      <c r="G12" s="14"/>
    </row>
    <row r="13" spans="1:7" x14ac:dyDescent="0.3">
      <c r="A13" s="29">
        <v>7</v>
      </c>
      <c r="B13" s="29">
        <v>100</v>
      </c>
      <c r="C13" s="14"/>
      <c r="D13" s="31">
        <v>0.14000000000000001</v>
      </c>
      <c r="E13" s="21">
        <f t="shared" si="0"/>
        <v>-8.64462585174374</v>
      </c>
      <c r="F13" s="14"/>
      <c r="G13" s="14"/>
    </row>
    <row r="14" spans="1:7" x14ac:dyDescent="0.3">
      <c r="A14" s="29">
        <v>8</v>
      </c>
      <c r="B14" s="29">
        <v>100</v>
      </c>
      <c r="C14" s="14"/>
      <c r="D14" s="31">
        <v>0.16</v>
      </c>
      <c r="E14" s="21">
        <f t="shared" si="0"/>
        <v>-89.993648707448301</v>
      </c>
      <c r="F14" s="14"/>
      <c r="G14" s="14"/>
    </row>
    <row r="15" spans="1:7" x14ac:dyDescent="0.3">
      <c r="A15" s="29">
        <v>9</v>
      </c>
      <c r="B15" s="29">
        <v>100</v>
      </c>
      <c r="C15" s="14"/>
      <c r="D15" s="31">
        <v>0.18</v>
      </c>
      <c r="E15" s="21">
        <f t="shared" si="0"/>
        <v>-159.52690359395285</v>
      </c>
      <c r="F15" s="14"/>
      <c r="G15" s="14"/>
    </row>
    <row r="16" spans="1:7" x14ac:dyDescent="0.3">
      <c r="A16" s="29">
        <v>10</v>
      </c>
      <c r="B16" s="29">
        <v>1100</v>
      </c>
      <c r="C16" s="14"/>
      <c r="D16" s="31">
        <v>0.2</v>
      </c>
      <c r="E16" s="21">
        <f t="shared" si="0"/>
        <v>-219.24720855507712</v>
      </c>
      <c r="F16" s="14"/>
      <c r="G16" s="14"/>
    </row>
    <row r="17" spans="1:7" x14ac:dyDescent="0.3">
      <c r="A17" s="14"/>
      <c r="B17" s="14"/>
      <c r="C17" s="14"/>
      <c r="D17" s="14"/>
      <c r="E17" s="14"/>
      <c r="F17" s="14"/>
      <c r="G17" s="14"/>
    </row>
    <row r="18" spans="1:7" x14ac:dyDescent="0.3">
      <c r="A18" s="32" t="s">
        <v>3</v>
      </c>
      <c r="B18" s="31">
        <f>IRR(B6:B16)</f>
        <v>0.13805158611780088</v>
      </c>
      <c r="C18" s="14"/>
      <c r="D18" s="14"/>
      <c r="E18" s="14"/>
      <c r="F18" s="14"/>
      <c r="G18" s="14"/>
    </row>
    <row r="19" spans="1:7" x14ac:dyDescent="0.3">
      <c r="A19" s="14"/>
      <c r="B19" s="14"/>
      <c r="C19" s="14"/>
      <c r="D19" s="14"/>
      <c r="E19" s="14"/>
      <c r="F19" s="14"/>
      <c r="G19" s="14"/>
    </row>
    <row r="20" spans="1:7" x14ac:dyDescent="0.3">
      <c r="A20" s="14"/>
      <c r="B20" s="14"/>
      <c r="C20" s="14"/>
      <c r="D20" s="14"/>
      <c r="E20" s="14"/>
      <c r="F20" s="14"/>
      <c r="G20" s="14"/>
    </row>
    <row r="21" spans="1:7" x14ac:dyDescent="0.3">
      <c r="A21" s="14"/>
      <c r="B21" s="14"/>
      <c r="C21" s="14"/>
      <c r="D21" s="14"/>
      <c r="E21" s="14"/>
      <c r="F21" s="14"/>
      <c r="G21" s="14"/>
    </row>
  </sheetData>
  <mergeCells count="2">
    <mergeCell ref="A1:G1"/>
    <mergeCell ref="D3:G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B928-98AE-4A07-8697-77E3DC542883}">
  <dimension ref="A2:B19"/>
  <sheetViews>
    <sheetView workbookViewId="0">
      <selection activeCell="B5" sqref="B5"/>
    </sheetView>
  </sheetViews>
  <sheetFormatPr defaultRowHeight="14.4" x14ac:dyDescent="0.3"/>
  <cols>
    <col min="1" max="1" width="28.33203125" bestFit="1" customWidth="1"/>
    <col min="2" max="2" width="10.77734375" bestFit="1" customWidth="1"/>
  </cols>
  <sheetData>
    <row r="2" spans="1:2" x14ac:dyDescent="0.3">
      <c r="A2" t="s">
        <v>28</v>
      </c>
      <c r="B2">
        <v>1000</v>
      </c>
    </row>
    <row r="3" spans="1:2" x14ac:dyDescent="0.3">
      <c r="A3" t="s">
        <v>29</v>
      </c>
      <c r="B3">
        <v>1200</v>
      </c>
    </row>
    <row r="4" spans="1:2" x14ac:dyDescent="0.3">
      <c r="A4" t="s">
        <v>30</v>
      </c>
      <c r="B4">
        <v>2</v>
      </c>
    </row>
    <row r="5" spans="1:2" x14ac:dyDescent="0.3">
      <c r="A5" s="51" t="s">
        <v>31</v>
      </c>
      <c r="B5" s="34">
        <f>((B3/B2)^(1/B4)-1)*B4</f>
        <v>0.1908902300206643</v>
      </c>
    </row>
    <row r="7" spans="1:2" x14ac:dyDescent="0.3">
      <c r="A7" s="51" t="s">
        <v>32</v>
      </c>
      <c r="B7" s="34">
        <f>LN(B3/B2)</f>
        <v>0.18232155679395459</v>
      </c>
    </row>
    <row r="9" spans="1:2" ht="15.6" x14ac:dyDescent="0.3">
      <c r="A9" s="52" t="s">
        <v>33</v>
      </c>
    </row>
    <row r="11" spans="1:2" x14ac:dyDescent="0.3">
      <c r="A11" s="51" t="s">
        <v>34</v>
      </c>
      <c r="B11" s="51" t="s">
        <v>31</v>
      </c>
    </row>
    <row r="12" spans="1:2" x14ac:dyDescent="0.3">
      <c r="B12" s="34">
        <f>B5</f>
        <v>0.1908902300206643</v>
      </c>
    </row>
    <row r="13" spans="1:2" x14ac:dyDescent="0.3">
      <c r="A13">
        <v>1</v>
      </c>
      <c r="B13">
        <f t="dataTable" ref="B13:B19" dt2D="0" dtr="0" r1="B4"/>
        <v>0.19999999999999996</v>
      </c>
    </row>
    <row r="14" spans="1:2" x14ac:dyDescent="0.3">
      <c r="A14">
        <v>2</v>
      </c>
      <c r="B14">
        <v>0.1908902300206643</v>
      </c>
    </row>
    <row r="15" spans="1:2" x14ac:dyDescent="0.3">
      <c r="A15">
        <v>4</v>
      </c>
      <c r="B15">
        <v>0.18654055756842247</v>
      </c>
    </row>
    <row r="16" spans="1:2" x14ac:dyDescent="0.3">
      <c r="A16">
        <v>12</v>
      </c>
      <c r="B16">
        <v>0.18371364599677431</v>
      </c>
    </row>
    <row r="17" spans="1:2" x14ac:dyDescent="0.3">
      <c r="A17">
        <v>24</v>
      </c>
      <c r="B17">
        <v>0.18301583772886687</v>
      </c>
    </row>
    <row r="18" spans="1:2" x14ac:dyDescent="0.3">
      <c r="A18">
        <v>365</v>
      </c>
      <c r="B18">
        <v>0.18236710019882918</v>
      </c>
    </row>
    <row r="19" spans="1:2" x14ac:dyDescent="0.3">
      <c r="A19">
        <v>1000</v>
      </c>
      <c r="B19">
        <v>0.18233817837920441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FDE7-9B22-4360-A762-19945A755F04}">
  <dimension ref="A1:C10"/>
  <sheetViews>
    <sheetView workbookViewId="0">
      <selection activeCell="B16" sqref="B16"/>
    </sheetView>
  </sheetViews>
  <sheetFormatPr defaultRowHeight="14.4" x14ac:dyDescent="0.3"/>
  <cols>
    <col min="1" max="1" width="10" bestFit="1" customWidth="1"/>
    <col min="2" max="2" width="9" bestFit="1" customWidth="1"/>
  </cols>
  <sheetData>
    <row r="1" spans="1:3" ht="45" customHeight="1" x14ac:dyDescent="0.3">
      <c r="A1" s="53" t="s">
        <v>35</v>
      </c>
      <c r="B1" s="53"/>
      <c r="C1" s="53"/>
    </row>
    <row r="2" spans="1:3" s="55" customFormat="1" ht="14.4" customHeight="1" x14ac:dyDescent="0.3">
      <c r="A2" s="54"/>
      <c r="B2" s="54"/>
      <c r="C2" s="54"/>
    </row>
    <row r="3" spans="1:3" x14ac:dyDescent="0.3">
      <c r="A3" s="57" t="s">
        <v>36</v>
      </c>
      <c r="B3" s="57" t="s">
        <v>37</v>
      </c>
      <c r="C3" s="1"/>
    </row>
    <row r="4" spans="1:3" x14ac:dyDescent="0.3">
      <c r="A4" s="58">
        <v>43466</v>
      </c>
      <c r="B4" s="29">
        <v>-1000</v>
      </c>
      <c r="C4" s="1"/>
    </row>
    <row r="5" spans="1:3" x14ac:dyDescent="0.3">
      <c r="A5" s="58">
        <v>43527</v>
      </c>
      <c r="B5" s="29">
        <v>150</v>
      </c>
      <c r="C5" s="1"/>
    </row>
    <row r="6" spans="1:3" x14ac:dyDescent="0.3">
      <c r="A6" s="58">
        <v>44016</v>
      </c>
      <c r="B6" s="29">
        <v>100</v>
      </c>
      <c r="C6" s="1"/>
    </row>
    <row r="7" spans="1:3" x14ac:dyDescent="0.3">
      <c r="A7" s="58">
        <v>44116</v>
      </c>
      <c r="B7" s="29">
        <v>50</v>
      </c>
      <c r="C7" s="1"/>
    </row>
    <row r="8" spans="1:3" x14ac:dyDescent="0.3">
      <c r="A8" s="58">
        <v>44190</v>
      </c>
      <c r="B8" s="29">
        <v>1000</v>
      </c>
      <c r="C8" s="1"/>
    </row>
    <row r="9" spans="1:3" x14ac:dyDescent="0.3">
      <c r="B9" s="1"/>
      <c r="C9" s="1"/>
    </row>
    <row r="10" spans="1:3" x14ac:dyDescent="0.3">
      <c r="A10" s="56" t="s">
        <v>38</v>
      </c>
      <c r="B10" s="59">
        <f>XIRR(B4:B8,A4:A8)</f>
        <v>0.16667522788047792</v>
      </c>
      <c r="C10" s="1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FF8D-95F9-4371-ABB6-9B0AA463BFEB}">
  <dimension ref="A1:C14"/>
  <sheetViews>
    <sheetView workbookViewId="0">
      <selection activeCell="G15" sqref="G15"/>
    </sheetView>
  </sheetViews>
  <sheetFormatPr defaultRowHeight="13.8" x14ac:dyDescent="0.25"/>
  <cols>
    <col min="1" max="1" width="17.88671875" style="33" bestFit="1" customWidth="1"/>
    <col min="2" max="16384" width="8.88671875" style="33"/>
  </cols>
  <sheetData>
    <row r="1" spans="1:3" ht="43.2" customHeight="1" x14ac:dyDescent="0.3">
      <c r="A1" s="62" t="s">
        <v>39</v>
      </c>
      <c r="B1" s="62"/>
      <c r="C1" s="62"/>
    </row>
    <row r="2" spans="1:3" s="61" customFormat="1" ht="12.6" customHeight="1" x14ac:dyDescent="0.3">
      <c r="A2" s="60"/>
      <c r="B2" s="60"/>
      <c r="C2" s="60"/>
    </row>
    <row r="3" spans="1:3" x14ac:dyDescent="0.25">
      <c r="A3" s="57" t="s">
        <v>40</v>
      </c>
      <c r="B3" s="57">
        <v>0.08</v>
      </c>
    </row>
    <row r="4" spans="1:3" x14ac:dyDescent="0.25">
      <c r="A4" s="1"/>
      <c r="B4" s="1"/>
    </row>
    <row r="5" spans="1:3" x14ac:dyDescent="0.25">
      <c r="A5" s="57" t="s">
        <v>36</v>
      </c>
      <c r="B5" s="57" t="s">
        <v>37</v>
      </c>
    </row>
    <row r="6" spans="1:3" x14ac:dyDescent="0.25">
      <c r="A6" s="58">
        <v>43466</v>
      </c>
      <c r="B6" s="29">
        <v>-1000</v>
      </c>
    </row>
    <row r="7" spans="1:3" x14ac:dyDescent="0.25">
      <c r="A7" s="58">
        <v>43527</v>
      </c>
      <c r="B7" s="29">
        <v>100</v>
      </c>
    </row>
    <row r="8" spans="1:3" x14ac:dyDescent="0.25">
      <c r="A8" s="58">
        <v>44016</v>
      </c>
      <c r="B8" s="29">
        <v>195</v>
      </c>
    </row>
    <row r="9" spans="1:3" x14ac:dyDescent="0.25">
      <c r="A9" s="58">
        <v>44481</v>
      </c>
      <c r="B9" s="29">
        <v>350</v>
      </c>
    </row>
    <row r="10" spans="1:3" x14ac:dyDescent="0.25">
      <c r="A10" s="63">
        <v>44920</v>
      </c>
      <c r="B10" s="64">
        <v>800</v>
      </c>
    </row>
    <row r="11" spans="1:3" x14ac:dyDescent="0.25">
      <c r="A11" s="65"/>
      <c r="B11" s="66"/>
    </row>
    <row r="12" spans="1:3" x14ac:dyDescent="0.25">
      <c r="A12" s="67" t="s">
        <v>41</v>
      </c>
      <c r="B12" s="68">
        <f>XNPV(B3,B6:B10,A6:A10)</f>
        <v>143.70612297229337</v>
      </c>
    </row>
    <row r="13" spans="1:3" x14ac:dyDescent="0.25">
      <c r="A13" s="1"/>
      <c r="B13" s="1"/>
    </row>
    <row r="14" spans="1:3" x14ac:dyDescent="0.25">
      <c r="A14" s="1"/>
      <c r="B14" s="1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6AA3-E7CF-4611-8D4A-C642549B39E5}">
  <dimension ref="A1"/>
  <sheetViews>
    <sheetView workbookViewId="0">
      <selection activeCell="J28" sqref="J2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IRR(Manual)</vt:lpstr>
      <vt:lpstr>Rate Function</vt:lpstr>
      <vt:lpstr>M IRR</vt:lpstr>
      <vt:lpstr>Bond IRR</vt:lpstr>
      <vt:lpstr>Calculating Returns From Prices</vt:lpstr>
      <vt:lpstr>XIRR</vt:lpstr>
      <vt:lpstr>XNPV</vt:lpstr>
      <vt:lpstr>NXNPV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KAUSHIKI choubey</dc:creator>
  <cp:lastModifiedBy>KAUSHIKI choubey</cp:lastModifiedBy>
  <dcterms:created xsi:type="dcterms:W3CDTF">2025-01-17T05:17:05Z</dcterms:created>
  <dcterms:modified xsi:type="dcterms:W3CDTF">2025-02-13T20:02:36Z</dcterms:modified>
</cp:coreProperties>
</file>